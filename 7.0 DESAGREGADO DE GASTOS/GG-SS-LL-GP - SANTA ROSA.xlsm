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\Desktop\IOARR SANTA ROSA\7.0 DESAGREGADO DE GASTOS\"/>
    </mc:Choice>
  </mc:AlternateContent>
  <xr:revisionPtr revIDLastSave="0" documentId="13_ncr:1_{7F24D9DF-8D4B-4693-8294-717ACF2E634D}" xr6:coauthVersionLast="45" xr6:coauthVersionMax="45" xr10:uidLastSave="{00000000-0000-0000-0000-000000000000}"/>
  <bookViews>
    <workbookView xWindow="-108" yWindow="-108" windowWidth="30936" windowHeight="16896" tabRatio="690" activeTab="8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G23" i="25" l="1"/>
  <c r="J21" i="25"/>
  <c r="E21" i="25" s="1"/>
  <c r="G29" i="25"/>
  <c r="E27" i="25"/>
  <c r="E26" i="25"/>
  <c r="E25" i="25"/>
  <c r="G19" i="10"/>
  <c r="B31" i="25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<sst xmlns="http://schemas.openxmlformats.org/spreadsheetml/2006/main" count="2149" uniqueCount="655">
  <si>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</si>
  <si>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</si>
  <si>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</si>
  <si>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</si>
  <si>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</si>
  <si>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</si>
  <si>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</si>
  <si>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</si>
  <si>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</si>
  <si>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</si>
  <si>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</si>
  <si>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</si>
  <si>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</si>
  <si>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</si>
  <si>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</si>
  <si>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</si>
  <si>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</si>
  <si>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</si>
  <si>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</si>
  <si>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</si>
  <si>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</si>
  <si>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</si>
  <si>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</si>
  <si>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</si>
  <si>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</si>
  <si>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</si>
  <si>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</si>
  <si>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</si>
  <si>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</si>
  <si>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</si>
  <si>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</si>
  <si>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</si>
  <si>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</si>
  <si>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</si>
  <si>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</si>
  <si>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</si>
  <si>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</si>
  <si>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</si>
  <si>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</si>
  <si>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</si>
  <si>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</si>
  <si>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</si>
  <si>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</si>
  <si>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</si>
  <si>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</si>
  <si>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</si>
  <si>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</si>
  <si>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</si>
  <si>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</si>
  <si>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</si>
  <si>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</si>
  <si>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</si>
  <si>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</si>
  <si>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</si>
  <si>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</si>
  <si>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</si>
  <si>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</si>
  <si>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</si>
  <si>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</si>
  <si>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</si>
  <si>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</si>
  <si>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</si>
  <si>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</si>
  <si>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</si>
  <si>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</si>
  <si>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</si>
  <si>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</si>
  <si>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</si>
  <si>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</si>
  <si>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</si>
  <si>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</si>
  <si>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</si>
  <si>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</si>
  <si>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</si>
  <si>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</si>
  <si>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</si>
  <si>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</si>
  <si>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</si>
  <si>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</si>
  <si>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</si>
  <si>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</si>
  <si>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</si>
  <si>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</si>
  <si>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</si>
  <si>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</si>
  <si>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</si>
  <si>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</si>
  <si>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</si>
  <si>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</si>
  <si>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</si>
  <si>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</si>
  <si>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</si>
  <si>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</si>
  <si>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</si>
  <si>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</si>
  <si>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</si>
  <si>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</si>
  <si>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</si>
  <si>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</si>
  <si>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</si>
  <si>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</si>
  <si>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</si>
  <si>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</si>
  <si>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</si>
  <si>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</si>
  <si>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</si>
  <si>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</si>
  <si>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</si>
  <si>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</si>
  <si>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</si>
  <si>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</si>
  <si>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</si>
  <si>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</si>
  <si>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</si>
  <si>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</si>
  <si>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</si>
  <si>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</si>
  <si>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</si>
  <si>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</si>
  <si>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</si>
  <si>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</si>
  <si>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</si>
  <si>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</si>
  <si>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</si>
  <si>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</si>
  <si>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</si>
  <si>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</si>
  <si>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</si>
  <si>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</si>
  <si>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</si>
  <si>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</si>
  <si>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</si>
  <si>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</si>
  <si>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</si>
  <si>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</si>
  <si>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</si>
  <si>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</si>
  <si>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</si>
  <si>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</si>
  <si>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</si>
  <si>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</si>
  <si>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</si>
  <si>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</si>
  <si>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</si>
  <si>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</si>
  <si>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</si>
  <si>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</si>
  <si>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</si>
  <si>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</si>
  <si>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</si>
  <si>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</si>
  <si>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</si>
  <si>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</si>
  <si>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</si>
  <si>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</si>
  <si>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</si>
  <si>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</si>
  <si>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</si>
  <si>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</si>
  <si>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</si>
  <si>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</si>
  <si>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</si>
  <si>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</si>
  <si>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</si>
  <si>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</si>
  <si>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</si>
  <si>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</si>
  <si>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</si>
  <si>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</si>
  <si>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</si>
  <si>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</si>
  <si>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</si>
  <si>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</si>
  <si>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</si>
  <si>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</si>
  <si>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</si>
  <si>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</si>
  <si>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</si>
  <si>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</si>
  <si>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</si>
  <si>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</si>
  <si>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</si>
  <si>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</si>
  <si>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</si>
  <si>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</si>
  <si>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</si>
  <si>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</si>
  <si>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</si>
  <si>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</si>
  <si>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</si>
  <si>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</si>
  <si>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</si>
  <si>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</si>
  <si>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</si>
  <si>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</si>
  <si>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</si>
  <si>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</si>
  <si>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</si>
  <si>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</si>
  <si>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</si>
  <si>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</si>
  <si>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</si>
  <si>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</si>
  <si>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</si>
  <si>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</si>
  <si>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</si>
  <si>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</si>
  <si>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</si>
  <si>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</si>
  <si>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</si>
  <si>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</si>
  <si>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</si>
  <si>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</si>
  <si>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</si>
  <si>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</si>
  <si>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</si>
  <si>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</si>
  <si>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</si>
  <si>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</si>
  <si>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</si>
  <si>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</si>
  <si>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</si>
  <si>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</si>
  <si>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</si>
  <si>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</si>
  <si>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</si>
  <si>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</si>
  <si>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</si>
  <si>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</si>
  <si>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</si>
  <si>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</si>
  <si>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</si>
  <si>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</si>
  <si>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</si>
  <si>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</si>
  <si>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</si>
  <si>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</si>
  <si>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</si>
  <si>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</si>
  <si>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</si>
  <si>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</si>
  <si>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</si>
  <si>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</si>
  <si>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</si>
  <si>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</si>
  <si>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</si>
  <si>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</si>
  <si>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</si>
  <si>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</si>
  <si>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</si>
  <si>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</si>
  <si>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</si>
  <si>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</si>
  <si>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</si>
  <si>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</si>
  <si>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</si>
  <si>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</si>
  <si>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</si>
  <si>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</si>
  <si>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</si>
  <si>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</si>
  <si>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</si>
  <si>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</si>
  <si>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</si>
  <si>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</si>
  <si>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</si>
  <si>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</si>
  <si>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</si>
  <si>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</si>
  <si>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</si>
  <si>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</si>
  <si>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</si>
  <si>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</si>
  <si>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</si>
  <si>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</si>
  <si>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</si>
  <si>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</si>
  <si>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</si>
  <si>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</si>
  <si>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</si>
  <si>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</si>
  <si>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</si>
  <si>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</si>
  <si>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</si>
  <si>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</si>
  <si>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</si>
  <si>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</si>
  <si>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</si>
  <si>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</si>
  <si>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</si>
  <si>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</si>
  <si>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</si>
  <si>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</si>
  <si>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</si>
  <si>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</si>
  <si>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</si>
  <si>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</si>
  <si>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</si>
  <si>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</si>
  <si>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</si>
  <si>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</si>
  <si>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</si>
  <si>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</si>
  <si>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</si>
  <si>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</si>
  <si>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</si>
  <si>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</si>
  <si>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</si>
  <si>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</si>
  <si>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</si>
  <si>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</si>
  <si>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</si>
  <si>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</si>
  <si>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</si>
  <si>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</si>
  <si>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</si>
  <si>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</si>
  <si>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</si>
  <si>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</si>
  <si>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</si>
  <si>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</si>
  <si>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</si>
  <si>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</si>
  <si>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</si>
  <si>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</si>
  <si>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</si>
  <si>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</si>
  <si>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</si>
  <si>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</si>
  <si>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</si>
  <si>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</si>
  <si>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</si>
  <si>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</si>
  <si>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</si>
  <si>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</si>
  <si>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</si>
  <si>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</si>
  <si>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</si>
  <si>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</si>
  <si>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</si>
  <si>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</si>
  <si>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</si>
  <si>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</si>
  <si>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</si>
  <si>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</si>
  <si>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</si>
  <si>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</si>
  <si>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</si>
  <si>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</si>
  <si>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</si>
  <si>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</si>
  <si>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</si>
  <si>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</si>
  <si>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</si>
  <si>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</si>
  <si>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</si>
  <si>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</si>
  <si>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</si>
  <si>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</si>
  <si>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</si>
  <si>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</si>
  <si>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</si>
  <si>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</si>
  <si>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</si>
  <si>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</si>
  <si>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</si>
  <si>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</si>
  <si>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</si>
  <si>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</si>
  <si>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</si>
  <si>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</si>
  <si>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</si>
  <si>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</si>
  <si>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</si>
  <si>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</si>
  <si>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</si>
  <si>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</si>
  <si>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</si>
  <si>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</si>
  <si>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</si>
  <si>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</si>
  <si>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</si>
  <si>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</si>
  <si>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</si>
  <si>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</si>
  <si>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</si>
  <si>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</si>
  <si>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</si>
  <si>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</si>
  <si>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</si>
  <si>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</si>
  <si>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</si>
  <si>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</si>
  <si>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</si>
  <si>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</si>
  <si>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</si>
  <si>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</si>
  <si>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</si>
  <si>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</si>
  <si>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</si>
  <si>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</si>
  <si>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</si>
  <si>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</si>
  <si>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</si>
  <si>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</si>
  <si>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</si>
  <si>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</si>
  <si>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</si>
  <si>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</si>
  <si>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</si>
  <si>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</si>
  <si>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</si>
  <si>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</si>
  <si>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</si>
  <si>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</si>
  <si>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</si>
  <si>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</si>
  <si>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</si>
  <si>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</si>
  <si>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</si>
  <si>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</si>
  <si>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</si>
  <si>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</si>
  <si>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</si>
  <si>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</si>
  <si>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</si>
  <si>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</si>
  <si>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</si>
  <si>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</si>
  <si>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</si>
  <si>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</si>
  <si>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</si>
  <si>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</si>
  <si>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</si>
  <si>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</si>
  <si>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</si>
  <si>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</si>
  <si>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</si>
  <si>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</si>
  <si>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</si>
  <si>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</si>
  <si>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</si>
  <si>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</si>
  <si>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</si>
  <si>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</si>
  <si>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</si>
  <si>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</si>
  <si>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</si>
  <si>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</si>
  <si>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</si>
  <si>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</si>
  <si>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</si>
  <si>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</si>
  <si>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</si>
  <si>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</si>
  <si>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</si>
  <si>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</si>
  <si>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</si>
  <si>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</si>
  <si>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</si>
  <si>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</si>
  <si>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</si>
  <si>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</si>
  <si>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</si>
  <si>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</si>
  <si>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</si>
  <si>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</si>
  <si>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</si>
  <si>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</si>
  <si>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</si>
  <si>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</si>
  <si>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</si>
  <si>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</si>
  <si>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</si>
  <si>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</si>
  <si>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</si>
  <si>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</si>
  <si>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</si>
  <si>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</si>
  <si>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</si>
  <si>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</si>
  <si>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</si>
  <si>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</si>
  <si>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</si>
  <si>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</si>
  <si>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</si>
  <si>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</si>
  <si>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</si>
  <si>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</si>
  <si>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</si>
  <si>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</si>
  <si>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</si>
  <si>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</si>
  <si>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</si>
  <si>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</si>
  <si>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</si>
  <si>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</si>
  <si>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</si>
  <si>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</si>
  <si>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</si>
  <si>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</si>
  <si>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</si>
  <si>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</si>
  <si>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</si>
  <si>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</si>
  <si>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</si>
  <si>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</si>
  <si>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</si>
  <si>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</si>
  <si>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</si>
  <si>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</si>
  <si>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</si>
  <si>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</si>
  <si>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</si>
  <si>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</si>
  <si>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</si>
  <si>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</si>
  <si>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</si>
  <si>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</si>
  <si>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</si>
  <si>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</si>
  <si>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</si>
  <si>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</si>
  <si>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</si>
  <si>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</si>
  <si>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</si>
  <si>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</si>
  <si>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</si>
  <si>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</si>
  <si>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</si>
  <si>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</si>
  <si>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</si>
  <si>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</si>
  <si>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</si>
  <si>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</si>
  <si>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</si>
  <si>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</si>
  <si>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</si>
  <si>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</si>
  <si>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</si>
  <si>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</si>
  <si>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</si>
  <si>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</si>
  <si>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</si>
  <si>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</si>
  <si>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</si>
  <si>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</si>
  <si>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</si>
  <si>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</si>
  <si>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</si>
  <si>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</si>
  <si>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</si>
  <si>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</si>
  <si>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</si>
  <si>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</si>
  <si>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</si>
  <si>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</si>
  <si>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</si>
  <si>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</si>
  <si>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</si>
  <si>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</si>
  <si>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</si>
  <si>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</si>
  <si>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</si>
  <si>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</si>
  <si>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</si>
  <si>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</si>
  <si>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</si>
  <si>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</si>
  <si>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</si>
  <si>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</si>
  <si>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</si>
  <si>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</si>
  <si>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</si>
  <si>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</si>
  <si>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</si>
  <si>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</si>
  <si>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</si>
  <si>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</si>
  <si>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</si>
  <si>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</si>
  <si>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</si>
  <si>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</si>
  <si>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</si>
  <si>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</si>
  <si>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</si>
  <si>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</si>
  <si>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</si>
  <si>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</si>
  <si>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</si>
  <si>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</si>
  <si>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</si>
  <si>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</si>
  <si>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</si>
  <si>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</si>
  <si>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</si>
  <si>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</si>
  <si>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</si>
  <si>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</si>
  <si>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</si>
  <si>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</si>
  <si>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</si>
  <si>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</si>
  <si>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</si>
  <si>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</si>
  <si>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</si>
  <si>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</si>
  <si>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</si>
  <si>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</si>
  <si>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</si>
  <si>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</si>
  <si>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</si>
  <si>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</si>
  <si>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</si>
  <si>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</si>
  <si>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</si>
  <si>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</si>
  <si>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</si>
  <si>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</si>
  <si>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</si>
  <si>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</si>
  <si>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</si>
  <si>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</si>
  <si>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</si>
  <si>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</si>
  <si>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</si>
  <si>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</si>
  <si>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</si>
  <si>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</si>
  <si>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</si>
  <si>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</si>
  <si>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</si>
  <si>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</si>
  <si>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</si>
  <si>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</si>
  <si>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</si>
  <si>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</si>
  <si>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</si>
  <si>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</si>
  <si>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</si>
  <si>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</si>
  <si>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</si>
  <si>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</si>
  <si>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</si>
  <si>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</si>
  <si>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</si>
  <si>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</si>
  <si>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</si>
  <si>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</si>
  <si>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</si>
  <si>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</si>
  <si>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</si>
  <si>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PROYECTO: “OPTIMIZACION MEDIANTE COBERTURA DE LA LOSA DEPORTIVA MULTIUSO DE LA I.E.INTEGRADO ANDRES AVELINO CACERES (IEP N° 54411) – SANTA ROSA, DISTRITO SANTA ROSA, PROVINCIA GRAU-REGION APURIMAC"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</si>
  <si>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</si>
  <si>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OPTIMIZACION MEDIANTE COBERTURA DE LA LOSA DEPORTIVA MULTIUSO DE LA I.E.INTEGRADO ANDRES AVELINO CACERES (IEP N° 54411) – SANTA ROSA, DISTRITO SANTA ROSA, PROVINCIA GRAU-REGION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</si>
</sst>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1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1" fontId="56" fillId="11" borderId="40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Border="1"/>
    <xf numFmtId="165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1"/>
  <sheetViews>
    <sheetView view="pageBreakPreview" zoomScale="98" zoomScaleNormal="100" zoomScaleSheetLayoutView="98" workbookViewId="0">
      <selection activeCell="H14" sqref="H14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653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218008.14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f>G9</f>
        <v>218008.14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218008.14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0.28910000000000002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281025.92333333334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0.28906160721032398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281025.92333333334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8" thickBot="1">
      <c r="B21" s="366"/>
      <c r="C21" s="367"/>
      <c r="D21" s="399" t="s">
        <v>380</v>
      </c>
      <c r="E21" s="400">
        <f>ROUND(J21,4)</f>
        <v>8.8800000000000004E-2</v>
      </c>
      <c r="F21" s="367"/>
      <c r="G21" s="418">
        <f>Supervision!G158</f>
        <v>24961.5</v>
      </c>
      <c r="H21" s="362"/>
      <c r="I21" s="363"/>
      <c r="J21" s="435">
        <f>G21/G19</f>
        <v>8.8822766611436094E-2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G19+G21+0.005</f>
        <v>305987.42833333334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3.2681081227645424E-2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5.0538220096918246E-2</v>
      </c>
      <c r="F26" s="367"/>
      <c r="G26" s="402">
        <f>Gestión!G19</f>
        <v>15464.06</v>
      </c>
      <c r="H26" s="362"/>
      <c r="I26" s="363"/>
      <c r="J26" s="405"/>
    </row>
    <row r="27" spans="2:10" ht="13.8" thickBot="1">
      <c r="B27" s="366"/>
      <c r="C27" s="367"/>
      <c r="D27" s="399" t="s">
        <v>138</v>
      </c>
      <c r="E27" s="400">
        <f>G27/G23</f>
        <v>5.650804052369101E-2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G25+G27+G26+G23</f>
        <v>348742.23833333334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CUARENTA Y OCHO MIL SETECIENTOS CUARENTA Y DOS CON 24/100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4" zoomScale="90" zoomScaleNormal="85" zoomScaleSheetLayoutView="90" zoomScalePageLayoutView="75" workbookViewId="0">
      <selection activeCell="A24" sqref="A24:G24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5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501" t="s">
        <v>280</v>
      </c>
      <c r="B1" s="501"/>
      <c r="C1" s="501"/>
      <c r="D1" s="501"/>
      <c r="E1" s="501"/>
      <c r="F1" s="501"/>
      <c r="G1" s="501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3.8">
      <c r="A10" s="70"/>
      <c r="B10" s="29"/>
      <c r="C10" s="502"/>
      <c r="D10" s="502"/>
      <c r="E10" s="502"/>
      <c r="F10" s="502"/>
      <c r="G10" s="502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2" t="s">
        <v>42</v>
      </c>
      <c r="B23" s="483"/>
      <c r="C23" s="483"/>
      <c r="D23" s="483"/>
      <c r="E23" s="483"/>
      <c r="F23" s="483"/>
      <c r="G23" s="483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18" customHeight="1">
      <c r="B11" s="29"/>
      <c r="C11" s="502"/>
      <c r="D11" s="502"/>
      <c r="E11" s="502"/>
      <c r="F11" s="502"/>
      <c r="G11" s="502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E22" sqref="E22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24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RESUMEN!G29</f>
        <v>348742.23833333334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>
      <c r="B10" s="29"/>
      <c r="C10" s="502"/>
      <c r="D10" s="502"/>
      <c r="E10" s="502"/>
      <c r="F10" s="502"/>
      <c r="G10" s="502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tabSelected="1" view="pageBreakPreview" topLeftCell="A118" zoomScale="106" zoomScaleNormal="100" zoomScaleSheetLayoutView="106" workbookViewId="0">
      <selection activeCell="D26" sqref="D26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22.8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RESUMEN!G29</f>
        <v>348742.23833333334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</cp:lastModifiedBy>
  <cp:lastPrinted>2020-05-19T17:14:12Z</cp:lastPrinted>
  <dcterms:created xsi:type="dcterms:W3CDTF">2003-01-21T17:07:22Z</dcterms:created>
  <dcterms:modified xsi:type="dcterms:W3CDTF">2020-05-19T17:14:14Z</dcterms:modified>
</cp:coreProperties>
</file>
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RFEI 751\Documents\GitHub\IOARR0005-SANTA-ROSA\7.0 DESAGREGADO DE GASTOS\"/>
    </mc:Choice>
  </mc:AlternateContent>
  <bookViews>
    <workbookView xWindow="-108" yWindow="-108" windowWidth="30936" windowHeight="16896" tabRatio="690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8"/>
  <externalReferences>
    <externalReference r:id="rId10"/>
  </externalReferences>
  <definedNames>
    <definedName name="_xlnm._FilterDatabase" localSheetId="2" hidden="1">C.Directo!$B$36:$F$36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C.Directo!$A$1:$G$486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RESUMEN!$B$1:$G$38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45" i="13" l="1"/>
  <c r="F442" i="13" l="1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F128" i="11" s="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9" i="27"/>
  <c r="C8" i="27"/>
  <c r="C7" i="27"/>
  <c r="C6" i="27"/>
  <c r="F84" i="27" l="1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G154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F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9" i="16" s="1"/>
  <c r="G134" i="16" s="1"/>
  <c r="G126" i="16" s="1"/>
  <c r="G17" i="16" s="1"/>
  <c r="F136" i="16"/>
  <c r="E98" i="11"/>
  <c r="E114" i="11"/>
  <c r="E79" i="11" s="1"/>
  <c r="E132" i="11"/>
  <c r="F43" i="11"/>
  <c r="F144" i="12"/>
  <c r="F145" i="12" s="1"/>
  <c r="E54" i="22"/>
  <c r="E55" i="22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9" i="11"/>
  <c r="C8" i="11"/>
  <c r="C7" i="11"/>
  <c r="C6" i="11"/>
  <c r="C50" i="12"/>
  <c r="F177" i="11"/>
  <c r="F176" i="11"/>
  <c r="F175" i="11"/>
  <c r="E35" i="21"/>
  <c r="E57" i="2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F118" i="22" s="1"/>
  <c r="G113" i="22" s="1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C9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51" i="16" s="1"/>
  <c r="G143" i="16" s="1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9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D57" i="21"/>
  <c r="D68" i="21"/>
  <c r="D77" i="21" s="1"/>
  <c r="D88" i="21" s="1"/>
  <c r="F88" i="21" s="1"/>
  <c r="F90" i="21" s="1"/>
  <c r="G81" i="21" s="1"/>
  <c r="E96" i="16"/>
  <c r="E76" i="16"/>
  <c r="D81" i="11"/>
  <c r="D100" i="11"/>
  <c r="E84" i="16"/>
  <c r="E95" i="16"/>
  <c r="E72" i="12"/>
  <c r="F43" i="16"/>
  <c r="F44" i="16" s="1"/>
  <c r="G35" i="16" s="1"/>
  <c r="E77" i="22"/>
  <c r="E87" i="22"/>
  <c r="E88" i="22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E68" i="21"/>
  <c r="F68" i="21"/>
  <c r="F70" i="21" s="1"/>
  <c r="F35" i="21"/>
  <c r="F37" i="21" s="1"/>
  <c r="G28" i="21" s="1"/>
  <c r="E77" i="21"/>
  <c r="E47" i="21"/>
  <c r="F47" i="21" s="1"/>
  <c r="F49" i="21" s="1"/>
  <c r="E67" i="22"/>
  <c r="F67" i="22" s="1"/>
  <c r="E97" i="22"/>
  <c r="F97" i="22" s="1"/>
  <c r="F55" i="22"/>
  <c r="E108" i="22"/>
  <c r="E88" i="21"/>
  <c r="E66" i="22"/>
  <c r="F54" i="22"/>
  <c r="G141" i="12"/>
  <c r="E76" i="22"/>
  <c r="F76" i="22" s="1"/>
  <c r="E96" i="22"/>
  <c r="F96" i="22" s="1"/>
  <c r="E107" i="22"/>
  <c r="D92" i="11"/>
  <c r="F37" i="11"/>
  <c r="D108" i="11"/>
  <c r="D73" i="11"/>
  <c r="D134" i="11"/>
  <c r="D116" i="11"/>
  <c r="F45" i="11"/>
  <c r="D65" i="11"/>
  <c r="F107" i="22" l="1"/>
  <c r="F123" i="16"/>
  <c r="G108" i="16" s="1"/>
  <c r="F78" i="21"/>
  <c r="F186" i="21"/>
  <c r="G180" i="21" s="1"/>
  <c r="G178" i="21" s="1"/>
  <c r="G16" i="21" s="1"/>
  <c r="F176" i="21"/>
  <c r="G95" i="21" s="1"/>
  <c r="G93" i="21" s="1"/>
  <c r="G15" i="21" s="1"/>
  <c r="G26" i="25"/>
  <c r="F197" i="21"/>
  <c r="G189" i="21" s="1"/>
  <c r="F57" i="21"/>
  <c r="F59" i="21" s="1"/>
  <c r="F96" i="12"/>
  <c r="F76" i="16"/>
  <c r="F96" i="16"/>
  <c r="F94" i="12"/>
  <c r="F162" i="22"/>
  <c r="G156" i="22" s="1"/>
  <c r="F77" i="21"/>
  <c r="F79" i="21" s="1"/>
  <c r="G61" i="21" s="1"/>
  <c r="G26" i="21" s="1"/>
  <c r="G14" i="21" s="1"/>
  <c r="G18" i="21" s="1"/>
  <c r="G200" i="21" s="1"/>
  <c r="E60" i="12"/>
  <c r="F60" i="12" s="1"/>
  <c r="E50" i="12"/>
  <c r="F50" i="12" s="1"/>
  <c r="E62" i="12"/>
  <c r="F62" i="12" s="1"/>
  <c r="E52" i="12"/>
  <c r="F52" i="12" s="1"/>
  <c r="F77" i="22"/>
  <c r="E65" i="16"/>
  <c r="F65" i="16" s="1"/>
  <c r="E55" i="16"/>
  <c r="F55" i="16" s="1"/>
  <c r="G40" i="21"/>
  <c r="F56" i="22"/>
  <c r="G47" i="22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97" i="11"/>
  <c r="E65" i="11"/>
  <c r="F65" i="11" s="1"/>
  <c r="F116" i="11"/>
  <c r="F114" i="11"/>
  <c r="F80" i="11"/>
  <c r="F115" i="11"/>
  <c r="F133" i="11"/>
  <c r="F81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F98" i="22"/>
  <c r="G187" i="11"/>
  <c r="G17" i="11" s="1"/>
  <c r="D18" i="10" s="1"/>
  <c r="F131" i="11"/>
  <c r="F83" i="12"/>
  <c r="F99" i="11"/>
  <c r="F113" i="11"/>
  <c r="F138" i="12"/>
  <c r="G108" i="12" s="1"/>
  <c r="F88" i="22"/>
  <c r="F108" i="22"/>
  <c r="F109" i="22" s="1"/>
  <c r="G102" i="22" s="1"/>
  <c r="G100" i="22" s="1"/>
  <c r="F127" i="22"/>
  <c r="G121" i="22" s="1"/>
  <c r="G111" i="22" s="1"/>
  <c r="G15" i="22" s="1"/>
  <c r="F17" i="10" s="1"/>
  <c r="F154" i="22"/>
  <c r="G129" i="22" s="1"/>
  <c r="F132" i="11"/>
  <c r="F184" i="11"/>
  <c r="G151" i="11" s="1"/>
  <c r="G148" i="11" s="1"/>
  <c r="F100" i="11"/>
  <c r="G99" i="16"/>
  <c r="G16" i="16" s="1"/>
  <c r="I17" i="10" s="1"/>
  <c r="F66" i="22"/>
  <c r="F68" i="22" s="1"/>
  <c r="F87" i="22"/>
  <c r="F89" i="22" s="1"/>
  <c r="G80" i="22" s="1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F78" i="22"/>
  <c r="E78" i="11"/>
  <c r="F78" i="11" s="1"/>
  <c r="E62" i="11"/>
  <c r="F62" i="11" s="1"/>
  <c r="F62" i="13"/>
  <c r="F152" i="13"/>
  <c r="G144" i="13" s="1"/>
  <c r="G16" i="22"/>
  <c r="F18" i="10" s="1"/>
  <c r="G41" i="22"/>
  <c r="G18" i="22"/>
  <c r="F20" i="10" s="1"/>
  <c r="F79" i="11"/>
  <c r="F52" i="13"/>
  <c r="F111" i="13"/>
  <c r="F131" i="13"/>
  <c r="F56" i="16" l="1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45" i="22" s="1"/>
  <c r="G14" i="22" s="1"/>
  <c r="G68" i="13"/>
  <c r="G103" i="13"/>
  <c r="C16" i="10"/>
  <c r="G68" i="16" l="1"/>
  <c r="G47" i="16"/>
  <c r="G33" i="16" s="1"/>
  <c r="G15" i="16" s="1"/>
  <c r="G19" i="16" s="1"/>
  <c r="G27" i="25" s="1"/>
  <c r="E19" i="10" s="1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I16" i="10" l="1"/>
  <c r="I21" i="10" s="1"/>
  <c r="G28" i="12"/>
  <c r="G14" i="12" s="1"/>
  <c r="H16" i="10" s="1"/>
  <c r="H21" i="10" s="1"/>
  <c r="G15" i="25"/>
  <c r="G471" i="13"/>
  <c r="G154" i="16"/>
  <c r="G28" i="11"/>
  <c r="G15" i="11" s="1"/>
  <c r="D16" i="10" s="1"/>
  <c r="G18" i="12" l="1"/>
  <c r="G158" i="12" s="1"/>
  <c r="G21" i="25" s="1"/>
  <c r="G19" i="11"/>
  <c r="G16" i="25" s="1"/>
  <c r="J18" i="25" s="1"/>
  <c r="E16" i="25" s="1"/>
  <c r="D21" i="10"/>
  <c r="D22" i="10" s="1"/>
  <c r="G16" i="10"/>
  <c r="K19" i="11" l="1"/>
  <c r="K22" i="11" s="1"/>
  <c r="K25" i="11" s="1"/>
  <c r="G204" i="11"/>
  <c r="K16" i="10"/>
  <c r="G17" i="25" l="1"/>
  <c r="G19" i="25" s="1"/>
  <c r="G23" i="25" l="1"/>
  <c r="G29" i="25" s="1"/>
  <c r="J21" i="25"/>
  <c r="E21" i="25" s="1"/>
  <c r="E27" i="25"/>
  <c r="E26" i="25"/>
  <c r="E25" i="25"/>
  <c r="G19" i="10"/>
  <c r="B31" i="25"/>
  <c r="I154" i="16" l="1"/>
  <c r="I154" i="27"/>
  <c r="E21" i="10"/>
  <c r="K19" i="10"/>
  <c r="K21" i="10" s="1"/>
  <c r="L21" i="10" s="1"/>
  <c r="G21" i="10"/>
  <c r="H22" i="10" l="1"/>
  <c r="I22" i="10"/>
</calcChain>
</file>

<file path=xl/sharedStrings.xml><?xml version="1.0" encoding="utf-8"?>
<sst xmlns="http://schemas.openxmlformats.org/spreadsheetml/2006/main" count="2149" uniqueCount="655">
  <si>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</si>
  <si>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</si>
  <si>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</si>
  <si>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</si>
  <si>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</si>
  <si>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</si>
  <si>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</si>
  <si>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</si>
  <si>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</si>
  <si>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</si>
  <si>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</si>
  <si>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</si>
  <si>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</si>
  <si>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</si>
  <si>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</si>
  <si>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</si>
  <si>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</si>
  <si>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</si>
  <si>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</si>
  <si>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</si>
  <si>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</si>
  <si>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</si>
  <si>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</si>
  <si>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</si>
  <si>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</si>
  <si>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</si>
  <si>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</si>
  <si>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</si>
  <si>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</si>
  <si>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</si>
  <si>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</si>
  <si>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</si>
  <si>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</si>
  <si>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</si>
  <si>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</si>
  <si>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</si>
  <si>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</si>
  <si>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</si>
  <si>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</si>
  <si>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</si>
  <si>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</si>
  <si>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</si>
  <si>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</si>
  <si>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</si>
  <si>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</si>
  <si>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</si>
  <si>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</si>
  <si>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</si>
  <si>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</si>
  <si>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</si>
  <si>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</si>
  <si>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</si>
  <si>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</si>
  <si>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</si>
  <si>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</si>
  <si>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</si>
  <si>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</si>
  <si>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</si>
  <si>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</si>
  <si>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</si>
  <si>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</si>
  <si>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</si>
  <si>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</si>
  <si>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</si>
  <si>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</si>
  <si>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</si>
  <si>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</si>
  <si>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</si>
  <si>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</si>
  <si>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</si>
  <si>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</si>
  <si>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</si>
  <si>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</si>
  <si>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</si>
  <si>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</si>
  <si>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</si>
  <si>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</si>
  <si>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</si>
  <si>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</si>
  <si>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</si>
  <si>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</si>
  <si>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</si>
  <si>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</si>
  <si>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</si>
  <si>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</si>
  <si>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</si>
  <si>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</si>
  <si>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</si>
  <si>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</si>
  <si>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</si>
  <si>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</si>
  <si>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</si>
  <si>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</si>
  <si>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</si>
  <si>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</si>
  <si>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</si>
  <si>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</si>
  <si>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</si>
  <si>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</si>
  <si>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</si>
  <si>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</si>
  <si>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</si>
  <si>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</si>
  <si>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</si>
  <si>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</si>
  <si>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</si>
  <si>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</si>
  <si>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</si>
  <si>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</si>
  <si>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</si>
  <si>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</si>
  <si>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</si>
  <si>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</si>
  <si>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</si>
  <si>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</si>
  <si>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</si>
  <si>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</si>
  <si>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</si>
  <si>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</si>
  <si>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</si>
  <si>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</si>
  <si>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</si>
  <si>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</si>
  <si>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</si>
  <si>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</si>
  <si>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</si>
  <si>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</si>
  <si>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</si>
  <si>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</si>
  <si>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</si>
  <si>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</si>
  <si>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</si>
  <si>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</si>
  <si>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</si>
  <si>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</si>
  <si>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</si>
  <si>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</si>
  <si>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</si>
  <si>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</si>
  <si>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</si>
  <si>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</si>
  <si>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</si>
  <si>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</si>
  <si>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</si>
  <si>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</si>
  <si>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</si>
  <si>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</si>
  <si>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</si>
  <si>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</si>
  <si>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</si>
  <si>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</si>
  <si>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</si>
  <si>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</si>
  <si>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</si>
  <si>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</si>
  <si>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</si>
  <si>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</si>
  <si>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</si>
  <si>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</si>
  <si>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</si>
  <si>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</si>
  <si>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</si>
  <si>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</si>
  <si>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</si>
  <si>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</si>
  <si>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</si>
  <si>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</si>
  <si>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</si>
  <si>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</si>
  <si>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</si>
  <si>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</si>
  <si>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</si>
  <si>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</si>
  <si>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</si>
  <si>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</si>
  <si>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</si>
  <si>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</si>
  <si>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</si>
  <si>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</si>
  <si>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</si>
  <si>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</si>
  <si>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</si>
  <si>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</si>
  <si>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</si>
  <si>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</si>
  <si>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</si>
  <si>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</si>
  <si>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</si>
  <si>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</si>
  <si>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</si>
  <si>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</si>
  <si>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</si>
  <si>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</si>
  <si>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</si>
  <si>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</si>
  <si>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</si>
  <si>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</si>
  <si>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</si>
  <si>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</si>
  <si>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</si>
  <si>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</si>
  <si>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</si>
  <si>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</si>
  <si>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</si>
  <si>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</si>
  <si>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</si>
  <si>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</si>
  <si>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</si>
  <si>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</si>
  <si>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</si>
  <si>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</si>
  <si>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</si>
  <si>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</si>
  <si>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</si>
  <si>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</si>
  <si>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</si>
  <si>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</si>
  <si>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</si>
  <si>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</si>
  <si>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</si>
  <si>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</si>
  <si>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</si>
  <si>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</si>
  <si>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</si>
  <si>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</si>
  <si>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</si>
  <si>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</si>
  <si>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</si>
  <si>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</si>
  <si>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</si>
  <si>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</si>
  <si>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</si>
  <si>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</si>
  <si>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</si>
  <si>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</si>
  <si>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</si>
  <si>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</si>
  <si>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</si>
  <si>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</si>
  <si>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</si>
  <si>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</si>
  <si>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</si>
  <si>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</si>
  <si>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</si>
  <si>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</si>
  <si>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</si>
  <si>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</si>
  <si>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</si>
  <si>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</si>
  <si>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</si>
  <si>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</si>
  <si>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</si>
  <si>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</si>
  <si>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</si>
  <si>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</si>
  <si>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</si>
  <si>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</si>
  <si>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</si>
  <si>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</si>
  <si>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</si>
  <si>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</si>
  <si>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</si>
  <si>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</si>
  <si>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</si>
  <si>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</si>
  <si>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</si>
  <si>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</si>
  <si>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</si>
  <si>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</si>
  <si>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</si>
  <si>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</si>
  <si>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</si>
  <si>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</si>
  <si>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</si>
  <si>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</si>
  <si>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</si>
  <si>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</si>
  <si>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</si>
  <si>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</si>
  <si>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</si>
  <si>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</si>
  <si>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</si>
  <si>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</si>
  <si>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</si>
  <si>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</si>
  <si>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</si>
  <si>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</si>
  <si>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</si>
  <si>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</si>
  <si>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</si>
  <si>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</si>
  <si>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</si>
  <si>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</si>
  <si>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</si>
  <si>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</si>
  <si>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</si>
  <si>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</si>
  <si>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</si>
  <si>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</si>
  <si>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</si>
  <si>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</si>
  <si>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</si>
  <si>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</si>
  <si>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</si>
  <si>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</si>
  <si>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</si>
  <si>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</si>
  <si>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</si>
  <si>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</si>
  <si>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</si>
  <si>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</si>
  <si>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</si>
  <si>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</si>
  <si>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</si>
  <si>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</si>
  <si>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</si>
  <si>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</si>
  <si>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</si>
  <si>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</si>
  <si>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</si>
  <si>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</si>
  <si>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</si>
  <si>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</si>
  <si>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</si>
  <si>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</si>
  <si>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</si>
  <si>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</si>
  <si>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</si>
  <si>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</si>
  <si>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</si>
  <si>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</si>
  <si>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</si>
  <si>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</si>
  <si>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</si>
  <si>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</si>
  <si>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</si>
  <si>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</si>
  <si>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</si>
  <si>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</si>
  <si>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</si>
  <si>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</si>
  <si>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</si>
  <si>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</si>
  <si>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</si>
  <si>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</si>
  <si>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</si>
  <si>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</si>
  <si>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</si>
  <si>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</si>
  <si>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</si>
  <si>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</si>
  <si>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</si>
  <si>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</si>
  <si>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</si>
  <si>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</si>
  <si>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</si>
  <si>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</si>
  <si>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</si>
  <si>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</si>
  <si>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</si>
  <si>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</si>
  <si>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</si>
  <si>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</si>
  <si>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</si>
  <si>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</si>
  <si>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</si>
  <si>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</si>
  <si>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</si>
  <si>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</si>
  <si>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</si>
  <si>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</si>
  <si>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</si>
  <si>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</si>
  <si>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</si>
  <si>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</si>
  <si>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</si>
  <si>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</si>
  <si>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</si>
  <si>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</si>
  <si>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</si>
  <si>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</si>
  <si>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</si>
  <si>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</si>
  <si>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</si>
  <si>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</si>
  <si>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</si>
  <si>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</si>
  <si>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</si>
  <si>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</si>
  <si>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</si>
  <si>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</si>
  <si>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</si>
  <si>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</si>
  <si>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</si>
  <si>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</si>
  <si>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</si>
  <si>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</si>
  <si>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</si>
  <si>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</si>
  <si>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</si>
  <si>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</si>
  <si>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</si>
  <si>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</si>
  <si>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</si>
  <si>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</si>
  <si>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</si>
  <si>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</si>
  <si>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</si>
  <si>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</si>
  <si>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</si>
  <si>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</si>
  <si>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</si>
  <si>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</si>
  <si>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</si>
  <si>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</si>
  <si>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</si>
  <si>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</si>
  <si>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</si>
  <si>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</si>
  <si>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</si>
  <si>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</si>
  <si>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</si>
  <si>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</si>
  <si>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</si>
  <si>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</si>
  <si>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</si>
  <si>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</si>
  <si>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</si>
  <si>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</si>
  <si>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</si>
  <si>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</si>
  <si>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</si>
  <si>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</si>
  <si>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</si>
  <si>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</si>
  <si>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</si>
  <si>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</si>
  <si>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</si>
  <si>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</si>
  <si>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</si>
  <si>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</si>
  <si>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</si>
  <si>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</si>
  <si>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</si>
  <si>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</si>
  <si>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</si>
  <si>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</si>
  <si>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</si>
  <si>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</si>
  <si>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</si>
  <si>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</si>
  <si>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</si>
  <si>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</si>
  <si>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</si>
  <si>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</si>
  <si>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</si>
  <si>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</si>
  <si>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</si>
  <si>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</si>
  <si>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</si>
  <si>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</si>
  <si>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</si>
  <si>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</si>
  <si>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</si>
  <si>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</si>
  <si>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</si>
  <si>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</si>
  <si>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</si>
  <si>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</si>
  <si>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</si>
  <si>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</si>
  <si>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</si>
  <si>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</si>
  <si>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</si>
  <si>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</si>
  <si>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</si>
  <si>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</si>
  <si>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</si>
  <si>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</si>
  <si>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</si>
  <si>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</si>
  <si>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</si>
  <si>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</si>
  <si>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</si>
  <si>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</si>
  <si>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</si>
  <si>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</si>
  <si>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</si>
  <si>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</si>
  <si>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</si>
  <si>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</si>
  <si>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</si>
  <si>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</si>
  <si>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</si>
  <si>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</si>
  <si>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</si>
  <si>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</si>
  <si>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</si>
  <si>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</si>
  <si>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</si>
  <si>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</si>
  <si>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</si>
  <si>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</si>
  <si>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</si>
  <si>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</si>
  <si>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</si>
  <si>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</si>
  <si>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</si>
  <si>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</si>
  <si>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</si>
  <si>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</si>
  <si>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</si>
  <si>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</si>
  <si>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</si>
  <si>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</si>
  <si>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</si>
  <si>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</si>
  <si>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</si>
  <si>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</si>
  <si>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</si>
  <si>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</si>
  <si>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</si>
  <si>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</si>
  <si>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</si>
  <si>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</si>
  <si>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</si>
  <si>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</si>
  <si>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</si>
  <si>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</si>
  <si>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</si>
  <si>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</si>
  <si>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</si>
  <si>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</si>
  <si>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</si>
  <si>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</si>
  <si>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</si>
  <si>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</si>
  <si>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</si>
  <si>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</si>
  <si>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</si>
  <si>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</si>
  <si>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</si>
  <si>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</si>
  <si>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</si>
  <si>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</si>
  <si>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</si>
  <si>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</si>
  <si>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</si>
  <si>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</si>
  <si>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</si>
  <si>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</si>
  <si>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</si>
  <si>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</si>
  <si>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</si>
  <si>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</si>
  <si>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</si>
  <si>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</si>
  <si>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</si>
  <si>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</si>
  <si>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</si>
  <si>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</si>
  <si>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</si>
  <si>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</si>
  <si>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</si>
  <si>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</si>
  <si>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</si>
  <si>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</si>
  <si>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</si>
  <si>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</si>
  <si>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</si>
  <si>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</si>
  <si>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</si>
  <si>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</si>
  <si>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</si>
  <si>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</si>
  <si>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</si>
  <si>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</si>
  <si>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</si>
  <si>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</si>
  <si>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</si>
  <si>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</si>
  <si>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</si>
  <si>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</si>
  <si>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</si>
  <si>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</si>
  <si>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</si>
  <si>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</si>
  <si>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</si>
  <si>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</si>
  <si>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</si>
  <si>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</si>
  <si>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</si>
  <si>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</si>
  <si>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</si>
  <si>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</si>
  <si>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</si>
  <si>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</si>
  <si>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</si>
  <si>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</si>
  <si>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</si>
  <si>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</si>
  <si>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</si>
  <si>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</si>
  <si>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</si>
  <si>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</si>
  <si>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</si>
  <si>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</si>
  <si>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</si>
  <si>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</si>
  <si>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</si>
  <si>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</si>
  <si>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</si>
  <si>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</si>
  <si>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</si>
  <si>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</si>
  <si>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</si>
  <si>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</si>
  <si>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</si>
  <si>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</si>
  <si>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</si>
  <si>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</si>
  <si>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</si>
  <si>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</si>
  <si>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</si>
  <si>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</si>
  <si>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</si>
  <si>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</si>
  <si>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</si>
  <si>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</si>
  <si>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</si>
  <si>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</si>
  <si>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</si>
  <si>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</si>
  <si>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</si>
  <si>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</si>
  <si>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</si>
  <si>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</si>
  <si>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</si>
  <si>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</si>
  <si>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</si>
  <si>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</si>
  <si>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</si>
  <si>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</si>
  <si>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</si>
  <si>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</si>
  <si>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</si>
  <si>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</si>
  <si>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</si>
  <si>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</si>
  <si>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</si>
  <si>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</si>
  <si>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</si>
  <si>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t>PROYECTO: “OPTIMIZACION MEDIANTE COBERTURA DE LA LOSA DEPORTIVA MULTIUSO DE LA I.E.INTEGRADO ANDRES AVELINO CACERES (IEP N° 54411) – SANTA ROSA, DISTRITO SANTA ROSA, PROVINCIA GRAU-REGION APURIMAC"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</si>
  <si>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SANTA ROSA</t>
    </r>
  </si>
  <si>
    <t>IOARR "OPTIMIZACION MEDIANTE COBERTURA DE LA LOSA DEPORTIVA MULTIUSO DE LA IEP N°54411 "ANDRES AVELINO CACERES SANTA ROSA", DISTRITO SANTA ROSA, PROVINCIA GRAU-REGION APURIMAC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</si>
</sst>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General_)"/>
    <numFmt numFmtId="167" formatCode="0.00_)"/>
    <numFmt numFmtId="168" formatCode="#,##0.00;[Red]#,##0.00"/>
    <numFmt numFmtId="169" formatCode="#,##0.0000"/>
    <numFmt numFmtId="170" formatCode="#,##0.00_);\-#,##0.00"/>
    <numFmt numFmtId="171" formatCode="0.000%"/>
    <numFmt numFmtId="172" formatCode="&quot;S/.&quot;\ #,##0.00"/>
    <numFmt numFmtId="173" formatCode="0.0000000000"/>
  </numFmts>
  <fonts count="72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b/>
      <sz val="10"/>
      <name val="Palatino Linotype"/>
      <family val="1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6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13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6" fontId="5" fillId="2" borderId="0" xfId="0" applyNumberFormat="1" applyFont="1" applyFill="1" applyAlignment="1" applyProtection="1">
      <alignment horizontal="left" vertical="center"/>
    </xf>
    <xf numFmtId="166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6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6" fontId="3" fillId="0" borderId="0" xfId="0" applyNumberFormat="1" applyFont="1" applyFill="1" applyBorder="1" applyAlignment="1" applyProtection="1">
      <alignment vertical="center"/>
    </xf>
    <xf numFmtId="166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6" fontId="5" fillId="0" borderId="0" xfId="0" applyNumberFormat="1" applyFont="1" applyFill="1" applyAlignment="1" applyProtection="1">
      <alignment horizontal="left" vertical="center"/>
    </xf>
    <xf numFmtId="166" fontId="3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6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6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6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6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Alignment="1" applyProtection="1">
      <alignment vertical="center"/>
    </xf>
    <xf numFmtId="166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6" fontId="13" fillId="0" borderId="0" xfId="0" applyNumberFormat="1" applyFont="1" applyFill="1" applyAlignment="1" applyProtection="1">
      <alignment horizontal="left" vertical="center"/>
    </xf>
    <xf numFmtId="166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6" fontId="20" fillId="0" borderId="0" xfId="0" applyNumberFormat="1" applyFont="1" applyFill="1" applyAlignment="1" applyProtection="1">
      <alignment horizontal="left" vertical="center"/>
    </xf>
    <xf numFmtId="166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horizontal="center" vertical="center"/>
    </xf>
    <xf numFmtId="167" fontId="12" fillId="0" borderId="0" xfId="0" applyNumberFormat="1" applyFont="1" applyFill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6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6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6" fontId="19" fillId="0" borderId="0" xfId="0" applyNumberFormat="1" applyFont="1" applyFill="1" applyBorder="1" applyAlignment="1" applyProtection="1">
      <alignment vertical="center"/>
    </xf>
    <xf numFmtId="167" fontId="18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horizontal="center" vertical="center"/>
    </xf>
    <xf numFmtId="166" fontId="17" fillId="0" borderId="0" xfId="0" applyNumberFormat="1" applyFont="1" applyFill="1" applyAlignment="1" applyProtection="1">
      <alignment horizontal="right" vertical="center"/>
    </xf>
    <xf numFmtId="166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8" fontId="17" fillId="0" borderId="0" xfId="0" applyNumberFormat="1" applyFont="1" applyFill="1" applyAlignment="1">
      <alignment horizontal="right" vertical="center"/>
    </xf>
    <xf numFmtId="166" fontId="19" fillId="0" borderId="0" xfId="0" applyNumberFormat="1" applyFont="1" applyFill="1" applyAlignment="1" applyProtection="1">
      <alignment horizontal="right" vertical="center"/>
    </xf>
    <xf numFmtId="166" fontId="19" fillId="0" borderId="0" xfId="0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6" fontId="18" fillId="0" borderId="0" xfId="0" applyNumberFormat="1" applyFont="1" applyFill="1" applyBorder="1" applyAlignment="1" applyProtection="1">
      <alignment horizontal="left" vertical="center"/>
    </xf>
    <xf numFmtId="166" fontId="18" fillId="0" borderId="0" xfId="0" applyNumberFormat="1" applyFont="1" applyFill="1" applyBorder="1" applyAlignment="1" applyProtection="1">
      <alignment horizontal="centerContinuous" vertical="center"/>
    </xf>
    <xf numFmtId="166" fontId="16" fillId="0" borderId="0" xfId="0" applyNumberFormat="1" applyFont="1" applyFill="1" applyAlignment="1" applyProtection="1">
      <alignment vertical="center"/>
    </xf>
    <xf numFmtId="166" fontId="17" fillId="0" borderId="0" xfId="0" applyNumberFormat="1" applyFont="1" applyFill="1" applyAlignment="1" applyProtection="1">
      <alignment horizontal="center" vertical="center"/>
    </xf>
    <xf numFmtId="167" fontId="16" fillId="0" borderId="0" xfId="0" applyNumberFormat="1" applyFont="1" applyFill="1" applyAlignment="1" applyProtection="1">
      <alignment vertical="center"/>
    </xf>
    <xf numFmtId="166" fontId="19" fillId="0" borderId="0" xfId="0" quotePrefix="1" applyNumberFormat="1" applyFont="1" applyFill="1" applyAlignment="1" applyProtection="1">
      <alignment horizontal="left" vertical="center"/>
    </xf>
    <xf numFmtId="167" fontId="18" fillId="0" borderId="0" xfId="0" applyNumberFormat="1" applyFont="1" applyFill="1" applyAlignment="1" applyProtection="1">
      <alignment vertical="center"/>
    </xf>
    <xf numFmtId="167" fontId="18" fillId="0" borderId="0" xfId="0" applyNumberFormat="1" applyFont="1" applyFill="1" applyAlignment="1" applyProtection="1">
      <alignment horizontal="center" vertical="center"/>
    </xf>
    <xf numFmtId="166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9" fontId="15" fillId="0" borderId="3" xfId="0" applyNumberFormat="1" applyFont="1" applyFill="1" applyBorder="1" applyAlignment="1" applyProtection="1">
      <alignment horizontal="center" vertical="center"/>
    </xf>
    <xf numFmtId="169" fontId="12" fillId="0" borderId="0" xfId="0" applyNumberFormat="1" applyFont="1" applyFill="1" applyBorder="1" applyAlignment="1" applyProtection="1">
      <alignment horizontal="right" vertical="center"/>
    </xf>
    <xf numFmtId="166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6" fontId="12" fillId="0" borderId="0" xfId="0" quotePrefix="1" applyNumberFormat="1" applyFont="1" applyFill="1" applyAlignment="1" applyProtection="1">
      <alignment horizontal="left" vertical="center"/>
    </xf>
    <xf numFmtId="165" fontId="12" fillId="0" borderId="2" xfId="3" applyFont="1" applyFill="1" applyBorder="1" applyAlignment="1">
      <alignment horizontal="center" vertical="center"/>
    </xf>
    <xf numFmtId="166" fontId="4" fillId="0" borderId="0" xfId="0" applyNumberFormat="1" applyFont="1" applyFill="1" applyBorder="1" applyAlignment="1" applyProtection="1">
      <alignment horizontal="center" vertical="center"/>
    </xf>
    <xf numFmtId="166" fontId="20" fillId="0" borderId="3" xfId="0" applyNumberFormat="1" applyFont="1" applyFill="1" applyBorder="1" applyAlignment="1" applyProtection="1">
      <alignment horizontal="left" vertical="center"/>
    </xf>
    <xf numFmtId="166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6" fontId="4" fillId="3" borderId="7" xfId="0" applyNumberFormat="1" applyFont="1" applyFill="1" applyBorder="1" applyAlignment="1" applyProtection="1">
      <alignment horizontal="center" vertical="center"/>
    </xf>
    <xf numFmtId="166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6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7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8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6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6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6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6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6" fontId="23" fillId="0" borderId="0" xfId="0" quotePrefix="1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7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" vertical="center"/>
    </xf>
    <xf numFmtId="0" fontId="55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6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6" fontId="25" fillId="0" borderId="0" xfId="0" quotePrefix="1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7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" vertical="center"/>
    </xf>
    <xf numFmtId="166" fontId="27" fillId="0" borderId="0" xfId="0" applyNumberFormat="1" applyFont="1" applyFill="1" applyBorder="1" applyAlignment="1" applyProtection="1">
      <alignment vertical="center"/>
    </xf>
    <xf numFmtId="166" fontId="28" fillId="0" borderId="0" xfId="0" applyNumberFormat="1" applyFont="1" applyFill="1" applyBorder="1" applyAlignment="1" applyProtection="1">
      <alignment vertical="center"/>
    </xf>
    <xf numFmtId="167" fontId="27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horizontal="center" vertical="center"/>
    </xf>
    <xf numFmtId="164" fontId="12" fillId="2" borderId="0" xfId="1" applyFont="1" applyFill="1" applyAlignment="1">
      <alignment vertical="center"/>
    </xf>
    <xf numFmtId="171" fontId="12" fillId="2" borderId="0" xfId="0" applyNumberFormat="1" applyFont="1" applyFill="1" applyAlignment="1">
      <alignment vertical="center"/>
    </xf>
    <xf numFmtId="166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6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6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6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70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6" fontId="7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center" vertical="center"/>
    </xf>
    <xf numFmtId="166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6" fontId="7" fillId="0" borderId="18" xfId="0" applyNumberFormat="1" applyFont="1" applyFill="1" applyBorder="1" applyAlignment="1" applyProtection="1">
      <alignment horizontal="left" vertical="center"/>
    </xf>
    <xf numFmtId="166" fontId="3" fillId="0" borderId="7" xfId="0" applyNumberFormat="1" applyFont="1" applyFill="1" applyBorder="1" applyAlignment="1" applyProtection="1">
      <alignment horizontal="left" vertical="center"/>
    </xf>
    <xf numFmtId="166" fontId="3" fillId="0" borderId="11" xfId="0" applyNumberFormat="1" applyFont="1" applyFill="1" applyBorder="1" applyAlignment="1" applyProtection="1">
      <alignment horizontal="left" vertical="center"/>
    </xf>
    <xf numFmtId="166" fontId="3" fillId="0" borderId="22" xfId="0" applyNumberFormat="1" applyFont="1" applyFill="1" applyBorder="1" applyAlignment="1" applyProtection="1">
      <alignment horizontal="left" vertical="center"/>
    </xf>
    <xf numFmtId="166" fontId="3" fillId="0" borderId="23" xfId="0" applyNumberFormat="1" applyFont="1" applyFill="1" applyBorder="1" applyAlignment="1" applyProtection="1">
      <alignment horizontal="left" vertical="center"/>
    </xf>
    <xf numFmtId="166" fontId="3" fillId="0" borderId="4" xfId="0" applyNumberFormat="1" applyFont="1" applyFill="1" applyBorder="1" applyAlignment="1" applyProtection="1">
      <alignment horizontal="left" vertical="center"/>
    </xf>
    <xf numFmtId="166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6" fontId="15" fillId="9" borderId="31" xfId="0" applyNumberFormat="1" applyFont="1" applyFill="1" applyBorder="1" applyAlignment="1" applyProtection="1">
      <alignment horizontal="center" vertical="center"/>
    </xf>
    <xf numFmtId="166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6" fontId="32" fillId="0" borderId="0" xfId="0" applyNumberFormat="1" applyFont="1" applyFill="1" applyBorder="1" applyAlignment="1" applyProtection="1">
      <alignment horizontal="center" vertical="center"/>
    </xf>
    <xf numFmtId="166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6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70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70" fontId="11" fillId="0" borderId="3" xfId="2" applyNumberFormat="1" applyFont="1" applyBorder="1" applyAlignment="1">
      <alignment vertical="center"/>
    </xf>
    <xf numFmtId="164" fontId="3" fillId="0" borderId="3" xfId="2" applyFont="1" applyFill="1" applyBorder="1" applyAlignment="1">
      <alignment horizontal="right" vertical="center"/>
    </xf>
    <xf numFmtId="164" fontId="11" fillId="0" borderId="3" xfId="2" applyFont="1" applyBorder="1" applyAlignment="1">
      <alignment horizontal="center" vertical="center"/>
    </xf>
    <xf numFmtId="164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64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6" fillId="0" borderId="36" xfId="0" applyFont="1" applyBorder="1"/>
    <xf numFmtId="0" fontId="56" fillId="0" borderId="0" xfId="0" applyFont="1" applyBorder="1"/>
    <xf numFmtId="0" fontId="56" fillId="0" borderId="37" xfId="0" applyFont="1" applyBorder="1"/>
    <xf numFmtId="0" fontId="40" fillId="0" borderId="0" xfId="0" applyFont="1" applyFill="1" applyBorder="1"/>
    <xf numFmtId="0" fontId="57" fillId="0" borderId="0" xfId="0" applyFont="1" applyFill="1" applyBorder="1"/>
    <xf numFmtId="0" fontId="58" fillId="0" borderId="37" xfId="0" applyFont="1" applyBorder="1"/>
    <xf numFmtId="0" fontId="40" fillId="11" borderId="0" xfId="0" applyFont="1" applyFill="1" applyBorder="1"/>
    <xf numFmtId="0" fontId="57" fillId="11" borderId="0" xfId="0" applyFont="1" applyFill="1" applyBorder="1"/>
    <xf numFmtId="0" fontId="59" fillId="0" borderId="0" xfId="0" applyFont="1" applyFill="1" applyBorder="1"/>
    <xf numFmtId="0" fontId="57" fillId="0" borderId="0" xfId="0" applyFont="1" applyBorder="1"/>
    <xf numFmtId="0" fontId="60" fillId="0" borderId="0" xfId="0" applyFont="1" applyBorder="1"/>
    <xf numFmtId="4" fontId="60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9" fillId="0" borderId="0" xfId="0" applyFont="1" applyBorder="1"/>
    <xf numFmtId="0" fontId="61" fillId="0" borderId="0" xfId="0" applyFont="1" applyBorder="1" applyAlignment="1">
      <alignment horizontal="center"/>
    </xf>
    <xf numFmtId="172" fontId="60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1" fillId="0" borderId="0" xfId="0" applyFont="1" applyBorder="1" applyAlignment="1">
      <alignment horizontal="left"/>
    </xf>
    <xf numFmtId="0" fontId="61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7" fillId="0" borderId="0" xfId="0" applyNumberFormat="1" applyFont="1" applyBorder="1" applyAlignment="1">
      <alignment horizontal="center"/>
    </xf>
    <xf numFmtId="0" fontId="62" fillId="0" borderId="0" xfId="0" applyFont="1" applyBorder="1"/>
    <xf numFmtId="0" fontId="60" fillId="0" borderId="0" xfId="0" applyFont="1" applyBorder="1" applyAlignment="1">
      <alignment horizontal="center"/>
    </xf>
    <xf numFmtId="4" fontId="56" fillId="0" borderId="37" xfId="0" applyNumberFormat="1" applyFont="1" applyBorder="1"/>
    <xf numFmtId="0" fontId="49" fillId="0" borderId="0" xfId="0" applyFont="1" applyBorder="1"/>
    <xf numFmtId="2" fontId="59" fillId="0" borderId="0" xfId="0" applyNumberFormat="1" applyFont="1" applyBorder="1" applyAlignment="1">
      <alignment horizontal="left"/>
    </xf>
    <xf numFmtId="10" fontId="63" fillId="0" borderId="0" xfId="0" applyNumberFormat="1" applyFont="1" applyBorder="1"/>
    <xf numFmtId="172" fontId="60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6" fillId="0" borderId="0" xfId="0" applyFont="1" applyBorder="1" applyAlignment="1">
      <alignment horizontal="left"/>
    </xf>
    <xf numFmtId="0" fontId="56" fillId="11" borderId="0" xfId="0" applyFont="1" applyFill="1" applyBorder="1"/>
    <xf numFmtId="10" fontId="60" fillId="11" borderId="0" xfId="0" applyNumberFormat="1" applyFont="1" applyFill="1" applyBorder="1"/>
    <xf numFmtId="0" fontId="60" fillId="0" borderId="0" xfId="0" applyFont="1" applyBorder="1" applyAlignment="1">
      <alignment horizontal="left"/>
    </xf>
    <xf numFmtId="172" fontId="56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3" fillId="11" borderId="0" xfId="0" applyFont="1" applyFill="1" applyBorder="1"/>
    <xf numFmtId="10" fontId="60" fillId="0" borderId="0" xfId="0" applyNumberFormat="1" applyFont="1" applyBorder="1"/>
    <xf numFmtId="4" fontId="52" fillId="0" borderId="0" xfId="0" applyNumberFormat="1" applyFont="1"/>
    <xf numFmtId="0" fontId="64" fillId="0" borderId="0" xfId="0" applyFont="1" applyFill="1" applyBorder="1"/>
    <xf numFmtId="0" fontId="65" fillId="0" borderId="0" xfId="0" applyFont="1" applyFill="1" applyBorder="1" applyAlignment="1">
      <alignment horizontal="center"/>
    </xf>
    <xf numFmtId="4" fontId="64" fillId="0" borderId="37" xfId="0" applyNumberFormat="1" applyFont="1" applyFill="1" applyBorder="1"/>
    <xf numFmtId="0" fontId="53" fillId="0" borderId="0" xfId="0" applyFont="1"/>
    <xf numFmtId="0" fontId="66" fillId="0" borderId="0" xfId="0" applyFont="1" applyFill="1" applyBorder="1"/>
    <xf numFmtId="0" fontId="67" fillId="13" borderId="0" xfId="0" applyFont="1" applyFill="1" applyBorder="1"/>
    <xf numFmtId="0" fontId="68" fillId="13" borderId="0" xfId="0" applyFont="1" applyFill="1" applyBorder="1" applyAlignment="1">
      <alignment horizontal="center"/>
    </xf>
    <xf numFmtId="172" fontId="67" fillId="13" borderId="37" xfId="0" applyNumberFormat="1" applyFont="1" applyFill="1" applyBorder="1" applyAlignment="1">
      <alignment horizontal="center"/>
    </xf>
    <xf numFmtId="0" fontId="56" fillId="0" borderId="37" xfId="0" applyFont="1" applyBorder="1" applyAlignment="1">
      <alignment horizontal="right"/>
    </xf>
    <xf numFmtId="172" fontId="56" fillId="11" borderId="38" xfId="0" applyNumberFormat="1" applyFont="1" applyFill="1" applyBorder="1" applyAlignment="1">
      <alignment horizontal="center"/>
    </xf>
    <xf numFmtId="0" fontId="67" fillId="0" borderId="0" xfId="0" applyFont="1" applyFill="1" applyBorder="1"/>
    <xf numFmtId="0" fontId="68" fillId="0" borderId="0" xfId="0" applyFont="1" applyFill="1" applyBorder="1" applyAlignment="1">
      <alignment horizontal="center"/>
    </xf>
    <xf numFmtId="172" fontId="67" fillId="11" borderId="37" xfId="0" applyNumberFormat="1" applyFont="1" applyFill="1" applyBorder="1" applyAlignment="1">
      <alignment horizontal="center"/>
    </xf>
    <xf numFmtId="172" fontId="69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6" fillId="0" borderId="39" xfId="0" applyFont="1" applyBorder="1"/>
    <xf numFmtId="0" fontId="56" fillId="0" borderId="25" xfId="0" applyFont="1" applyBorder="1"/>
    <xf numFmtId="0" fontId="56" fillId="0" borderId="40" xfId="0" applyFont="1" applyBorder="1" applyAlignment="1">
      <alignment horizontal="left"/>
    </xf>
    <xf numFmtId="0" fontId="56" fillId="0" borderId="0" xfId="0" applyFont="1"/>
    <xf numFmtId="0" fontId="60" fillId="0" borderId="0" xfId="0" applyFont="1"/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2" fontId="56" fillId="11" borderId="40" xfId="0" applyNumberFormat="1" applyFont="1" applyFill="1" applyBorder="1" applyAlignment="1">
      <alignment horizontal="center"/>
    </xf>
    <xf numFmtId="173" fontId="0" fillId="0" borderId="0" xfId="0" applyNumberFormat="1"/>
    <xf numFmtId="0" fontId="0" fillId="0" borderId="0" xfId="0" applyBorder="1"/>
    <xf numFmtId="166" fontId="1" fillId="0" borderId="0" xfId="0" applyNumberFormat="1" applyFont="1" applyFill="1" applyAlignment="1" applyProtection="1">
      <alignment horizontal="left" vertical="center"/>
    </xf>
    <xf numFmtId="0" fontId="71" fillId="11" borderId="46" xfId="0" applyFont="1" applyFill="1" applyBorder="1" applyAlignment="1">
      <alignment horizontal="center" vertical="center" wrapText="1"/>
    </xf>
    <xf numFmtId="0" fontId="71" fillId="11" borderId="47" xfId="0" applyFont="1" applyFill="1" applyBorder="1" applyAlignment="1">
      <alignment horizontal="center" vertical="center" wrapText="1"/>
    </xf>
    <xf numFmtId="0" fontId="71" fillId="11" borderId="48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0" fontId="54" fillId="0" borderId="46" xfId="0" applyFont="1" applyBorder="1" applyAlignment="1">
      <alignment horizontal="center" vertical="center" wrapText="1"/>
    </xf>
    <xf numFmtId="0" fontId="54" fillId="0" borderId="47" xfId="0" applyFont="1" applyBorder="1" applyAlignment="1">
      <alignment horizontal="center" vertical="center" wrapText="1"/>
    </xf>
    <xf numFmtId="0" fontId="54" fillId="0" borderId="48" xfId="0" applyFont="1" applyBorder="1" applyAlignment="1">
      <alignment horizontal="center" vertical="center" wrapText="1"/>
    </xf>
    <xf numFmtId="0" fontId="54" fillId="0" borderId="36" xfId="0" applyFont="1" applyBorder="1" applyAlignment="1">
      <alignment horizontal="center" vertical="center" wrapText="1"/>
    </xf>
    <xf numFmtId="0" fontId="54" fillId="0" borderId="0" xfId="0" applyFont="1" applyBorder="1" applyAlignment="1">
      <alignment horizontal="center" vertical="center" wrapText="1"/>
    </xf>
    <xf numFmtId="0" fontId="54" fillId="0" borderId="37" xfId="0" applyFont="1" applyBorder="1" applyAlignment="1">
      <alignment horizontal="center" vertical="center" wrapText="1"/>
    </xf>
    <xf numFmtId="0" fontId="54" fillId="0" borderId="39" xfId="0" applyFont="1" applyBorder="1" applyAlignment="1">
      <alignment horizontal="center" vertical="center" wrapText="1"/>
    </xf>
    <xf numFmtId="0" fontId="54" fillId="0" borderId="25" xfId="0" applyFont="1" applyBorder="1" applyAlignment="1">
      <alignment horizontal="center" vertical="center" wrapText="1"/>
    </xf>
    <xf numFmtId="0" fontId="54" fillId="0" borderId="40" xfId="0" applyFont="1" applyBorder="1" applyAlignment="1">
      <alignment horizontal="center" vertical="center" wrapText="1"/>
    </xf>
    <xf numFmtId="0" fontId="70" fillId="11" borderId="0" xfId="0" applyFont="1" applyFill="1" applyBorder="1" applyAlignment="1">
      <alignment horizontal="center" vertical="center" wrapText="1"/>
    </xf>
    <xf numFmtId="0" fontId="56" fillId="11" borderId="0" xfId="0" applyFont="1" applyFill="1" applyBorder="1" applyAlignment="1">
      <alignment horizontal="center" vertical="center"/>
    </xf>
    <xf numFmtId="166" fontId="4" fillId="3" borderId="4" xfId="0" applyNumberFormat="1" applyFont="1" applyFill="1" applyBorder="1" applyAlignment="1" applyProtection="1">
      <alignment horizontal="center" vertical="center"/>
    </xf>
    <xf numFmtId="166" fontId="4" fillId="3" borderId="15" xfId="0" applyNumberFormat="1" applyFont="1" applyFill="1" applyBorder="1" applyAlignment="1" applyProtection="1">
      <alignment horizontal="center" vertical="center"/>
    </xf>
    <xf numFmtId="166" fontId="4" fillId="3" borderId="16" xfId="0" applyNumberFormat="1" applyFont="1" applyFill="1" applyBorder="1" applyAlignment="1" applyProtection="1">
      <alignment horizontal="center" vertical="center"/>
    </xf>
    <xf numFmtId="166" fontId="4" fillId="3" borderId="5" xfId="0" applyNumberFormat="1" applyFont="1" applyFill="1" applyBorder="1" applyAlignment="1" applyProtection="1">
      <alignment horizontal="center" vertical="center"/>
    </xf>
    <xf numFmtId="166" fontId="4" fillId="3" borderId="0" xfId="0" applyNumberFormat="1" applyFont="1" applyFill="1" applyBorder="1" applyAlignment="1" applyProtection="1">
      <alignment horizontal="center" vertical="center"/>
    </xf>
    <xf numFmtId="166" fontId="4" fillId="3" borderId="10" xfId="0" applyNumberFormat="1" applyFont="1" applyFill="1" applyBorder="1" applyAlignment="1" applyProtection="1">
      <alignment horizontal="center" vertical="center"/>
    </xf>
    <xf numFmtId="4" fontId="10" fillId="3" borderId="41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Alignment="1" applyProtection="1">
      <alignment horizontal="left" vertical="center" wrapText="1"/>
    </xf>
    <xf numFmtId="166" fontId="32" fillId="0" borderId="0" xfId="0" applyNumberFormat="1" applyFont="1" applyFill="1" applyBorder="1" applyAlignment="1" applyProtection="1">
      <alignment horizontal="center" vertical="center"/>
    </xf>
    <xf numFmtId="166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6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6" fontId="7" fillId="7" borderId="43" xfId="0" applyNumberFormat="1" applyFont="1" applyFill="1" applyBorder="1" applyAlignment="1" applyProtection="1">
      <alignment horizontal="center" vertical="center"/>
    </xf>
    <xf numFmtId="0" fontId="0" fillId="0" borderId="42" xfId="0" applyBorder="1"/>
    <xf numFmtId="0" fontId="0" fillId="0" borderId="35" xfId="0" applyBorder="1"/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166" fontId="7" fillId="7" borderId="34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4" fontId="17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66" fontId="23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Border="1" applyAlignment="1" applyProtection="1">
      <alignment horizontal="center" vertical="center"/>
    </xf>
    <xf numFmtId="166" fontId="1" fillId="0" borderId="0" xfId="0" applyNumberFormat="1" applyFont="1" applyFill="1" applyAlignment="1" applyProtection="1">
      <alignment horizontal="left" vertical="center" wrapText="1"/>
    </xf>
    <xf numFmtId="166" fontId="15" fillId="7" borderId="24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39" fontId="15" fillId="2" borderId="45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166" fontId="23" fillId="0" borderId="0" xfId="0" applyNumberFormat="1" applyFont="1" applyFill="1" applyAlignment="1" applyProtection="1">
      <alignment horizontal="center" vertical="center"/>
    </xf>
    <xf numFmtId="166" fontId="12" fillId="0" borderId="0" xfId="0" applyNumberFormat="1" applyFont="1" applyFill="1" applyAlignment="1" applyProtection="1">
      <alignment horizontal="left" vertical="center" wrapText="1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6" fontId="25" fillId="0" borderId="0" xfId="0" applyNumberFormat="1" applyFont="1" applyFill="1" applyBorder="1" applyAlignment="1" applyProtection="1">
      <alignment horizontal="center" vertical="center"/>
    </xf>
    <xf numFmtId="166" fontId="25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</cellXfs>
  <cellStyles count="13">
    <cellStyle name="Millares" xfId="1" builtinId="3"/>
    <cellStyle name="Millares 2" xfId="2"/>
    <cellStyle name="Moneda" xfId="3" builtinId="4"/>
    <cellStyle name="Moneda 2" xfId="4"/>
    <cellStyle name="Normal" xfId="0" builtinId="0"/>
    <cellStyle name="Normal 2" xfId="5"/>
    <cellStyle name="Normal 2 2" xfId="6"/>
    <cellStyle name="Normal 2 3" xfId="7"/>
    <cellStyle name="Normal 3" xfId="8"/>
    <cellStyle name="Normal 4" xfId="9"/>
    <cellStyle name="Normal 5" xfId="10"/>
    <cellStyle name="Porcentaje" xfId="12" builtinId="5"/>
    <cellStyle name="Porcentaje 2" xfId="11"/>
  </cellStyles>
  <dxfs count="1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27</xdr:row>
      <xdr:rowOff>4233</xdr:rowOff>
    </xdr:from>
    <xdr:to>
      <xdr:col>5</xdr:col>
      <xdr:colOff>956733</xdr:colOff>
      <xdr:row>29</xdr:row>
      <xdr:rowOff>81491</xdr:rowOff>
    </xdr:to>
    <xdr:pic>
      <xdr:nvPicPr>
        <xdr:cNvPr id="1030" name="Picture 32" descr="BS00561_">
          <a:extLst>
            <a:ext uri="{FF2B5EF4-FFF2-40B4-BE49-F238E27FC236}">
              <a16:creationId xmlns:a16="http://schemas.microsoft.com/office/drawing/2014/main" xmlns="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7533" y="7211483"/>
          <a:ext cx="647700" cy="479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5\Desktop\EXPEDIENTES%202013\EXPEDIENTE%20TECNICO%20AURORA%20INESTEJADA\14.%20DESAGREGADO%20DE%20GASTOS%20GENERALES\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41"/>
  <sheetViews>
    <sheetView tabSelected="1" view="pageBreakPreview" zoomScale="98" zoomScaleNormal="100" zoomScaleSheetLayoutView="98" workbookViewId="0">
      <selection activeCell="B4" sqref="B4:G4"/>
    </sheetView>
  </sheetViews>
  <sheetFormatPr baseColWidth="10" defaultColWidth="16.33203125" defaultRowHeight="13.2"/>
  <cols>
    <col min="1" max="1" width="16.33203125" customWidth="1"/>
    <col min="2" max="2" width="8.33203125" customWidth="1"/>
    <col min="3" max="3" width="6.5546875" customWidth="1"/>
    <col min="4" max="4" width="30.5546875" customWidth="1"/>
    <col min="5" max="5" width="26" customWidth="1"/>
    <col min="6" max="6" width="19.6640625" customWidth="1"/>
    <col min="7" max="7" width="22.33203125" customWidth="1"/>
  </cols>
  <sheetData>
    <row r="1" spans="2:10" s="436" customFormat="1"/>
    <row r="2" spans="2:10" s="436" customFormat="1"/>
    <row r="3" spans="2:10" s="436" customFormat="1" ht="21" thickBot="1">
      <c r="B3" s="452"/>
      <c r="C3" s="453"/>
      <c r="D3" s="453"/>
      <c r="E3" s="453"/>
      <c r="F3" s="453"/>
      <c r="G3" s="453"/>
      <c r="H3" s="362"/>
      <c r="I3" s="362"/>
    </row>
    <row r="4" spans="2:10" ht="109.5" customHeight="1">
      <c r="B4" s="438" t="s">
        <v>652</v>
      </c>
      <c r="C4" s="439"/>
      <c r="D4" s="439"/>
      <c r="E4" s="439"/>
      <c r="F4" s="439"/>
      <c r="G4" s="440"/>
      <c r="H4" s="364"/>
      <c r="I4" s="365"/>
    </row>
    <row r="5" spans="2:10">
      <c r="B5" s="366"/>
      <c r="C5" s="367"/>
      <c r="D5" s="367"/>
      <c r="E5" s="367"/>
      <c r="F5" s="367"/>
      <c r="G5" s="368"/>
      <c r="H5" s="362"/>
      <c r="I5" s="363"/>
    </row>
    <row r="6" spans="2:10" ht="15.6">
      <c r="B6" s="366"/>
      <c r="C6" s="369" t="s">
        <v>653</v>
      </c>
      <c r="D6" s="370"/>
      <c r="E6" s="370"/>
      <c r="F6" s="367"/>
      <c r="G6" s="371"/>
      <c r="H6" s="362"/>
    </row>
    <row r="7" spans="2:10" ht="18">
      <c r="B7" s="366"/>
      <c r="C7" s="372" t="s">
        <v>372</v>
      </c>
      <c r="D7" s="373"/>
      <c r="E7" s="370"/>
      <c r="F7" s="367"/>
      <c r="G7" s="368"/>
      <c r="H7" s="362"/>
      <c r="I7" s="363"/>
    </row>
    <row r="8" spans="2:10">
      <c r="B8" s="366"/>
      <c r="C8" s="374"/>
      <c r="D8" s="374"/>
      <c r="E8" s="375" t="s">
        <v>1</v>
      </c>
      <c r="F8" s="376"/>
      <c r="G8" s="377" t="s">
        <v>373</v>
      </c>
      <c r="H8" s="362"/>
      <c r="I8" s="378"/>
    </row>
    <row r="9" spans="2:10" ht="15.6">
      <c r="B9" s="366"/>
      <c r="C9" s="379" t="s">
        <v>374</v>
      </c>
      <c r="D9" s="375"/>
      <c r="E9" s="375"/>
      <c r="F9" s="380"/>
      <c r="G9" s="381">
        <v>238619.55</v>
      </c>
      <c r="H9" s="362">
        <v>410275.22</v>
      </c>
      <c r="I9" s="382"/>
    </row>
    <row r="10" spans="2:10">
      <c r="B10" s="366"/>
      <c r="C10" s="367"/>
      <c r="D10" s="367"/>
      <c r="E10" s="367"/>
      <c r="F10" s="367"/>
      <c r="G10" s="368"/>
      <c r="I10" s="383"/>
    </row>
    <row r="11" spans="2:10" ht="22.8">
      <c r="B11" s="366"/>
      <c r="C11" s="441" t="s">
        <v>375</v>
      </c>
      <c r="D11" s="441"/>
      <c r="E11" s="441"/>
      <c r="F11" s="441"/>
      <c r="G11" s="442"/>
      <c r="H11" s="384"/>
      <c r="I11" s="385"/>
    </row>
    <row r="12" spans="2:10" ht="15.6">
      <c r="B12" s="366"/>
      <c r="C12" s="380"/>
      <c r="D12" s="386" t="s">
        <v>53</v>
      </c>
      <c r="E12" s="380"/>
      <c r="F12" s="380"/>
      <c r="G12" s="387" t="s">
        <v>49</v>
      </c>
      <c r="H12" s="388"/>
      <c r="I12" s="385"/>
    </row>
    <row r="13" spans="2:10" ht="13.8">
      <c r="B13" s="366"/>
      <c r="C13" s="389"/>
      <c r="D13" s="390"/>
      <c r="E13" s="390"/>
      <c r="F13" s="391"/>
      <c r="G13" s="392"/>
      <c r="H13" s="393"/>
      <c r="I13" s="385"/>
    </row>
    <row r="14" spans="2:10">
      <c r="B14" s="366"/>
      <c r="C14" s="394" t="s">
        <v>376</v>
      </c>
      <c r="D14" s="379" t="s">
        <v>366</v>
      </c>
      <c r="E14" s="395"/>
      <c r="F14" s="391"/>
      <c r="G14" s="396">
        <v>238619.55</v>
      </c>
      <c r="H14" s="393"/>
      <c r="I14" s="397"/>
    </row>
    <row r="15" spans="2:10">
      <c r="B15" s="366"/>
      <c r="C15" s="398" t="s">
        <v>377</v>
      </c>
      <c r="D15" s="399" t="s">
        <v>10</v>
      </c>
      <c r="E15" s="400"/>
      <c r="F15" s="401"/>
      <c r="G15" s="402">
        <f>G14</f>
        <v>238619.55</v>
      </c>
      <c r="H15" s="403"/>
      <c r="I15" s="404"/>
      <c r="J15" s="405"/>
    </row>
    <row r="16" spans="2:10">
      <c r="B16" s="366"/>
      <c r="C16" s="398" t="s">
        <v>378</v>
      </c>
      <c r="D16" s="399" t="s">
        <v>43</v>
      </c>
      <c r="E16" s="400">
        <f>ROUND(J18,4)</f>
        <v>0.2641</v>
      </c>
      <c r="F16" s="401"/>
      <c r="G16" s="402">
        <f>G.General!G19</f>
        <v>63017.783333333326</v>
      </c>
      <c r="H16" s="403"/>
      <c r="I16" s="404"/>
      <c r="J16" s="405"/>
    </row>
    <row r="17" spans="2:10">
      <c r="B17" s="366"/>
      <c r="C17" s="376" t="s">
        <v>379</v>
      </c>
      <c r="D17" s="406" t="s">
        <v>4</v>
      </c>
      <c r="E17" s="407"/>
      <c r="F17" s="391"/>
      <c r="G17" s="396">
        <f>SUM(G15:G16)</f>
        <v>301637.33333333331</v>
      </c>
      <c r="H17" s="403"/>
      <c r="I17" s="408"/>
    </row>
    <row r="18" spans="2:10" ht="15.6">
      <c r="B18" s="366"/>
      <c r="C18" s="367"/>
      <c r="D18" s="409"/>
      <c r="E18" s="409"/>
      <c r="F18" s="410"/>
      <c r="G18" s="411"/>
      <c r="H18" s="362"/>
      <c r="I18" s="412"/>
      <c r="J18">
        <f>G16/G15</f>
        <v>0.26409312788215938</v>
      </c>
    </row>
    <row r="19" spans="2:10" ht="15.6">
      <c r="B19" s="366"/>
      <c r="C19" s="413"/>
      <c r="D19" s="414" t="s">
        <v>651</v>
      </c>
      <c r="E19" s="414"/>
      <c r="F19" s="415"/>
      <c r="G19" s="416">
        <f>G17</f>
        <v>301637.33333333331</v>
      </c>
      <c r="H19" s="362"/>
    </row>
    <row r="20" spans="2:10">
      <c r="B20" s="366"/>
      <c r="C20" s="367"/>
      <c r="D20" s="367"/>
      <c r="E20" s="367"/>
      <c r="F20" s="367"/>
      <c r="G20" s="417" t="s">
        <v>1</v>
      </c>
      <c r="H20" s="362"/>
      <c r="I20" s="363"/>
    </row>
    <row r="21" spans="2:10" ht="13.8" thickBot="1">
      <c r="B21" s="366"/>
      <c r="C21" s="367"/>
      <c r="D21" s="399" t="s">
        <v>380</v>
      </c>
      <c r="E21" s="400">
        <f>ROUND(J21,4)</f>
        <v>8.2799999999999999E-2</v>
      </c>
      <c r="F21" s="367"/>
      <c r="G21" s="418">
        <f>Supervision!G158</f>
        <v>24961.5</v>
      </c>
      <c r="H21" s="362"/>
      <c r="I21" s="363"/>
      <c r="J21" s="435">
        <f>G21/G19</f>
        <v>8.2753350602047498E-2</v>
      </c>
    </row>
    <row r="22" spans="2:10" ht="6" customHeight="1" thickTop="1">
      <c r="B22" s="366"/>
      <c r="C22" s="367"/>
      <c r="D22" s="367"/>
      <c r="E22" s="367"/>
      <c r="F22" s="367"/>
      <c r="G22" s="417"/>
      <c r="H22" s="362"/>
      <c r="I22" s="363"/>
    </row>
    <row r="23" spans="2:10" ht="15.6">
      <c r="B23" s="366"/>
      <c r="C23" s="413"/>
      <c r="D23" s="419" t="s">
        <v>650</v>
      </c>
      <c r="E23" s="419"/>
      <c r="F23" s="420"/>
      <c r="G23" s="421">
        <f>G19+G21+0.005</f>
        <v>326598.83833333332</v>
      </c>
      <c r="H23" s="362"/>
    </row>
    <row r="24" spans="2:10">
      <c r="B24" s="366"/>
      <c r="C24" s="367"/>
      <c r="D24" s="367"/>
      <c r="E24" s="367"/>
      <c r="F24" s="367"/>
      <c r="G24" s="417" t="s">
        <v>1</v>
      </c>
      <c r="H24" s="362"/>
      <c r="I24" s="363"/>
    </row>
    <row r="25" spans="2:10">
      <c r="B25" s="366"/>
      <c r="C25" s="367"/>
      <c r="D25" s="399" t="s">
        <v>367</v>
      </c>
      <c r="E25" s="400">
        <f>G25/G23</f>
        <v>3.0618602475841632E-2</v>
      </c>
      <c r="F25" s="367"/>
      <c r="G25" s="402">
        <v>10000</v>
      </c>
      <c r="H25" s="362"/>
      <c r="I25" s="363"/>
      <c r="J25" s="405"/>
    </row>
    <row r="26" spans="2:10">
      <c r="B26" s="366"/>
      <c r="C26" s="367"/>
      <c r="D26" s="399" t="s">
        <v>588</v>
      </c>
      <c r="E26" s="400">
        <f>G26/G23</f>
        <v>4.7348790580256352E-2</v>
      </c>
      <c r="F26" s="367"/>
      <c r="G26" s="402">
        <f>Gestión!G19</f>
        <v>15464.06</v>
      </c>
      <c r="H26" s="362"/>
      <c r="I26" s="363"/>
      <c r="J26" s="405"/>
    </row>
    <row r="27" spans="2:10" ht="13.8" thickBot="1">
      <c r="B27" s="366"/>
      <c r="C27" s="367"/>
      <c r="D27" s="399" t="s">
        <v>138</v>
      </c>
      <c r="E27" s="400">
        <f>G27/G23</f>
        <v>5.2941860075915864E-2</v>
      </c>
      <c r="F27" s="367"/>
      <c r="G27" s="434">
        <f>Liquidacion!G19</f>
        <v>17290.75</v>
      </c>
      <c r="H27" s="362"/>
      <c r="I27" s="363"/>
      <c r="J27" s="405"/>
    </row>
    <row r="28" spans="2:10">
      <c r="B28" s="366"/>
      <c r="C28" s="367"/>
      <c r="D28" s="367"/>
      <c r="E28" s="367"/>
      <c r="F28" s="367"/>
      <c r="G28" s="417"/>
      <c r="H28" s="362"/>
      <c r="I28" s="363"/>
    </row>
    <row r="29" spans="2:10" ht="17.399999999999999">
      <c r="B29" s="366"/>
      <c r="C29" s="413"/>
      <c r="D29" s="419" t="s">
        <v>381</v>
      </c>
      <c r="E29" s="419"/>
      <c r="F29" s="420"/>
      <c r="G29" s="422">
        <f>G25+G27+G26+G23</f>
        <v>369353.64833333332</v>
      </c>
      <c r="H29" s="362"/>
      <c r="J29" s="423"/>
    </row>
    <row r="30" spans="2:10" ht="12.75" customHeight="1" thickBot="1">
      <c r="B30" s="424"/>
      <c r="C30" s="425"/>
      <c r="D30" s="425"/>
      <c r="E30" s="425"/>
      <c r="F30" s="425"/>
      <c r="G30" s="426"/>
      <c r="H30" s="362"/>
      <c r="I30" s="363"/>
      <c r="J30" s="423"/>
    </row>
    <row r="31" spans="2:10" ht="12.75" customHeight="1">
      <c r="B31" s="443" t="str">
        <f>CONCATENATE("SON : ",letra(G29)," NUEVOS SOLES")</f>
        <v>SON : TRESCIENTOS SESENTA Y NUEVE MIL TRESCIENTOS CINCUENTA Y TRES CON 65/100 NUEVOS SOLES</v>
      </c>
      <c r="C31" s="444"/>
      <c r="D31" s="444"/>
      <c r="E31" s="444"/>
      <c r="F31" s="444"/>
      <c r="G31" s="445"/>
      <c r="H31" s="362"/>
      <c r="I31" s="363"/>
    </row>
    <row r="32" spans="2:10" ht="12.75" customHeight="1">
      <c r="B32" s="446"/>
      <c r="C32" s="447"/>
      <c r="D32" s="447"/>
      <c r="E32" s="447"/>
      <c r="F32" s="447"/>
      <c r="G32" s="448"/>
      <c r="H32" s="362"/>
      <c r="I32" s="363"/>
    </row>
    <row r="33" spans="1:9" ht="13.5" customHeight="1" thickBot="1">
      <c r="B33" s="449"/>
      <c r="C33" s="450"/>
      <c r="D33" s="450"/>
      <c r="E33" s="450"/>
      <c r="F33" s="450"/>
      <c r="G33" s="451"/>
      <c r="H33" s="362"/>
      <c r="I33" s="363"/>
    </row>
    <row r="34" spans="1:9">
      <c r="B34" s="427"/>
      <c r="C34" s="427"/>
      <c r="D34" s="427"/>
      <c r="E34" s="427"/>
      <c r="F34" s="427"/>
      <c r="G34" s="427"/>
      <c r="H34" s="362"/>
      <c r="I34" s="363"/>
    </row>
    <row r="35" spans="1:9">
      <c r="A35" s="363"/>
      <c r="B35" s="427"/>
      <c r="C35" s="428"/>
      <c r="D35" s="427"/>
      <c r="E35" s="427"/>
      <c r="F35" s="427"/>
      <c r="G35" s="427"/>
    </row>
    <row r="36" spans="1:9">
      <c r="B36" s="427"/>
      <c r="C36" s="428"/>
      <c r="D36" s="427"/>
      <c r="E36" s="427"/>
      <c r="F36" s="427"/>
      <c r="G36" s="427"/>
    </row>
    <row r="37" spans="1:9">
      <c r="C37" s="428"/>
    </row>
    <row r="38" spans="1:9">
      <c r="C38" s="428"/>
      <c r="D38" s="362"/>
    </row>
    <row r="39" spans="1:9">
      <c r="D39" s="362"/>
    </row>
    <row r="41" spans="1:9">
      <c r="G41" s="405"/>
    </row>
  </sheetData>
  <mergeCells count="4">
    <mergeCell ref="B4:G4"/>
    <mergeCell ref="C11:G11"/>
    <mergeCell ref="B31:G33"/>
    <mergeCell ref="B3:G3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546875" defaultRowHeight="13.2"/>
  <cols>
    <col min="1" max="1" width="12.88671875" style="17" customWidth="1"/>
    <col min="2" max="2" width="60.6640625" style="17" customWidth="1"/>
    <col min="3" max="3" width="17.5546875" style="17" customWidth="1"/>
    <col min="4" max="4" width="14.5546875" style="17" customWidth="1"/>
    <col min="5" max="5" width="18.33203125" style="17" customWidth="1"/>
    <col min="6" max="6" width="26.109375" style="17" hidden="1" customWidth="1"/>
    <col min="7" max="7" width="18" style="17" customWidth="1"/>
    <col min="8" max="8" width="17.6640625" style="17" customWidth="1"/>
    <col min="9" max="9" width="14.5546875" style="17" customWidth="1"/>
    <col min="10" max="10" width="14.5546875" style="17" hidden="1" customWidth="1"/>
    <col min="11" max="11" width="16.44140625" style="17" customWidth="1"/>
    <col min="12" max="16384" width="12.5546875" style="17"/>
  </cols>
  <sheetData>
    <row r="1" spans="1:11" ht="20.25" customHeight="1"/>
    <row r="2" spans="1:11" ht="20.25" customHeight="1"/>
    <row r="3" spans="1:11" ht="11.25" customHeight="1">
      <c r="A3" s="454" t="s">
        <v>1</v>
      </c>
      <c r="B3" s="455"/>
      <c r="C3" s="455"/>
      <c r="D3" s="455"/>
      <c r="E3" s="455"/>
      <c r="F3" s="455"/>
      <c r="G3" s="455"/>
      <c r="H3" s="455"/>
      <c r="I3" s="455"/>
      <c r="J3" s="455"/>
      <c r="K3" s="456"/>
    </row>
    <row r="4" spans="1:11" s="18" customFormat="1" ht="27" customHeight="1">
      <c r="A4" s="457" t="s">
        <v>125</v>
      </c>
      <c r="B4" s="458"/>
      <c r="C4" s="458"/>
      <c r="D4" s="458"/>
      <c r="E4" s="458"/>
      <c r="F4" s="458"/>
      <c r="G4" s="458"/>
      <c r="H4" s="458"/>
      <c r="I4" s="458"/>
      <c r="J4" s="458"/>
      <c r="K4" s="459"/>
    </row>
    <row r="5" spans="1:11" s="18" customFormat="1" ht="3" customHeight="1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>
      <c r="A7" s="465" t="s">
        <v>325</v>
      </c>
      <c r="B7" s="465"/>
      <c r="C7" s="465"/>
      <c r="D7" s="465"/>
      <c r="E7" s="465"/>
      <c r="F7" s="465"/>
      <c r="G7" s="465"/>
      <c r="H7" s="465"/>
      <c r="I7" s="465"/>
      <c r="J7" s="465"/>
      <c r="K7" s="465"/>
    </row>
    <row r="8" spans="1:11" s="18" customFormat="1" ht="42" customHeight="1">
      <c r="A8" s="466" t="s">
        <v>648</v>
      </c>
      <c r="B8" s="466"/>
      <c r="C8" s="466"/>
      <c r="D8" s="466"/>
      <c r="E8" s="466"/>
      <c r="F8" s="466"/>
      <c r="G8" s="466"/>
      <c r="H8" s="466"/>
      <c r="I8" s="466"/>
      <c r="J8" s="466"/>
      <c r="K8" s="466"/>
    </row>
    <row r="9" spans="1:11" s="22" customFormat="1" ht="13.8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3.8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3.8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3.8">
      <c r="A12" s="19"/>
      <c r="B12" s="20" t="s">
        <v>67</v>
      </c>
      <c r="C12" s="437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>
      <c r="A13" s="19"/>
      <c r="B13" s="20" t="s">
        <v>111</v>
      </c>
      <c r="C13" s="464" t="str">
        <f>+A8</f>
        <v>“OPTIMIZACIÓN  DE COBERTURA METALICA Y TRIBUNA DE LA IE No. 550006 BELEN DE OSMA Y PARDO, PROVINCIA DE ANDAHUAYLAS-REGION APURIMAC"</v>
      </c>
      <c r="D13" s="464"/>
      <c r="E13" s="464"/>
      <c r="F13" s="464"/>
      <c r="G13" s="464"/>
      <c r="H13" s="464"/>
      <c r="I13" s="464"/>
      <c r="J13" s="464"/>
      <c r="K13" s="464"/>
    </row>
    <row r="14" spans="1:11" s="22" customFormat="1" ht="14.4" thickBot="1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27.6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>
      <c r="A16" s="170" t="s">
        <v>292</v>
      </c>
      <c r="B16" s="169" t="s">
        <v>144</v>
      </c>
      <c r="C16" s="171">
        <f>+C.Directo!G16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>
      <c r="A17" s="170" t="s">
        <v>293</v>
      </c>
      <c r="B17" s="169" t="s">
        <v>145</v>
      </c>
      <c r="C17" s="171">
        <f>+C.Directo!G17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>
      <c r="A18" s="170" t="s">
        <v>294</v>
      </c>
      <c r="B18" s="169" t="s">
        <v>146</v>
      </c>
      <c r="C18" s="171">
        <f>+C.Directo!G18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>
      <c r="A19" s="170" t="s">
        <v>301</v>
      </c>
      <c r="B19" s="169" t="s">
        <v>147</v>
      </c>
      <c r="C19" s="171">
        <f>+C.Directo!G19</f>
        <v>0</v>
      </c>
      <c r="D19" s="171">
        <f>+G.General!G18</f>
        <v>0</v>
      </c>
      <c r="E19" s="171" t="e">
        <f>+RESUMEN!#REF!+RESUMEN!#REF!+RESUMEN!#REF!+RESUMEN!G25+RESUMEN!G26+RESUMEN!G27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" thickBot="1">
      <c r="A21" s="460" t="s">
        <v>3</v>
      </c>
      <c r="B21" s="461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" hidden="1" thickBot="1">
      <c r="A22" s="462" t="s">
        <v>84</v>
      </c>
      <c r="B22" s="463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3.8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3.8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>
      <c r="I25" s="326"/>
      <c r="J25" s="322"/>
    </row>
    <row r="30" spans="1:12">
      <c r="C30" s="339"/>
    </row>
    <row r="31" spans="1:12">
      <c r="K31" s="339"/>
      <c r="L31" s="339"/>
    </row>
    <row r="32" spans="1:12">
      <c r="K32" s="339"/>
      <c r="L32" s="339"/>
    </row>
    <row r="33" spans="11:11">
      <c r="K33" s="339"/>
    </row>
    <row r="34" spans="11:11">
      <c r="K34" s="339"/>
    </row>
    <row r="35" spans="11:11">
      <c r="K35" s="339"/>
    </row>
    <row r="36" spans="11:11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4140625" defaultRowHeight="13.2"/>
  <cols>
    <col min="1" max="1" width="3.6640625" style="25" customWidth="1"/>
    <col min="2" max="2" width="50.6640625" style="25" customWidth="1"/>
    <col min="3" max="3" width="17" style="179" customWidth="1"/>
    <col min="4" max="4" width="16.88671875" style="25" customWidth="1"/>
    <col min="5" max="5" width="15.6640625" style="25" customWidth="1"/>
    <col min="6" max="6" width="14.6640625" style="25" customWidth="1"/>
    <col min="7" max="7" width="16" style="25" customWidth="1"/>
    <col min="8" max="8" width="11.5546875" style="25" customWidth="1"/>
    <col min="9" max="16384" width="11.44140625" style="25"/>
  </cols>
  <sheetData>
    <row r="1" spans="1:8" ht="21" customHeight="1">
      <c r="H1" s="179"/>
    </row>
    <row r="2" spans="1:8" ht="21" customHeight="1">
      <c r="H2" s="179"/>
    </row>
    <row r="3" spans="1:8" ht="27" customHeight="1">
      <c r="A3" s="470" t="s">
        <v>70</v>
      </c>
      <c r="B3" s="470"/>
      <c r="C3" s="470"/>
      <c r="D3" s="470"/>
      <c r="E3" s="470"/>
      <c r="F3" s="470"/>
      <c r="G3" s="470"/>
      <c r="H3" s="179"/>
    </row>
    <row r="4" spans="1:8" ht="18" customHeight="1">
      <c r="A4" s="26"/>
      <c r="B4" s="27"/>
      <c r="C4" s="176"/>
      <c r="D4" s="27"/>
      <c r="E4" s="27"/>
      <c r="F4" s="27"/>
      <c r="G4" s="27"/>
      <c r="H4" s="179"/>
    </row>
    <row r="5" spans="1:8" ht="18" customHeight="1">
      <c r="A5" s="28"/>
      <c r="B5" s="296"/>
      <c r="C5" s="297"/>
      <c r="D5" s="27"/>
      <c r="E5" s="27"/>
      <c r="F5" s="27"/>
      <c r="H5" s="179"/>
    </row>
    <row r="6" spans="1:8" ht="18" customHeight="1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>
      <c r="A11" s="28"/>
      <c r="B11" s="296" t="s">
        <v>111</v>
      </c>
      <c r="C11" s="464" t="str">
        <f>+'R'!C13</f>
        <v>“OPTIMIZACIÓN  DE COBERTURA METALICA Y TRIBUNA DE LA IE No. 550006 BELEN DE OSMA Y PARDO, PROVINCIA DE ANDAHUAYLAS-REGION APURIMAC"</v>
      </c>
      <c r="D11" s="464"/>
      <c r="E11" s="464"/>
      <c r="F11" s="464"/>
      <c r="G11" s="464"/>
      <c r="H11" s="179"/>
    </row>
    <row r="12" spans="1:8" ht="18" customHeight="1">
      <c r="A12" s="28"/>
      <c r="B12" s="296"/>
      <c r="C12" s="464"/>
      <c r="D12" s="464"/>
      <c r="E12" s="464"/>
      <c r="F12" s="464"/>
      <c r="G12" s="464"/>
      <c r="H12" s="179"/>
    </row>
    <row r="13" spans="1:8" ht="18" customHeight="1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>
      <c r="A14" s="28"/>
      <c r="B14" s="296"/>
      <c r="C14" s="176"/>
      <c r="H14" s="179"/>
    </row>
    <row r="15" spans="1:8" s="18" customFormat="1" ht="35.25" customHeight="1" thickBot="1">
      <c r="A15" s="28"/>
      <c r="B15" s="298" t="s">
        <v>36</v>
      </c>
      <c r="C15" s="479" t="s">
        <v>37</v>
      </c>
      <c r="D15" s="473"/>
      <c r="E15" s="473"/>
      <c r="F15" s="474"/>
      <c r="G15" s="299" t="s">
        <v>152</v>
      </c>
      <c r="H15" s="349"/>
    </row>
    <row r="16" spans="1:8" s="18" customFormat="1" ht="35.25" customHeight="1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>
      <c r="A20" s="28"/>
      <c r="B20" s="472" t="s">
        <v>73</v>
      </c>
      <c r="C20" s="473"/>
      <c r="D20" s="473"/>
      <c r="E20" s="473"/>
      <c r="F20" s="474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>
      <c r="A21" s="28"/>
      <c r="B21" s="296"/>
      <c r="C21" s="176"/>
      <c r="G21" s="25">
        <v>2219685.83</v>
      </c>
      <c r="H21" s="351"/>
    </row>
    <row r="22" spans="1:10" ht="18" customHeight="1">
      <c r="A22" s="28"/>
      <c r="B22" s="296"/>
      <c r="C22" s="176"/>
      <c r="H22" s="351"/>
    </row>
    <row r="23" spans="1:10" ht="18" customHeight="1">
      <c r="A23" s="28"/>
      <c r="B23" s="296"/>
      <c r="C23" s="176"/>
      <c r="H23" s="351"/>
    </row>
    <row r="24" spans="1:10" ht="18" customHeight="1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>
      <c r="A25" s="35"/>
      <c r="B25" s="35"/>
      <c r="C25" s="177"/>
      <c r="D25" s="28"/>
      <c r="E25" s="28"/>
      <c r="H25" s="351"/>
    </row>
    <row r="26" spans="1:10" ht="27" customHeight="1">
      <c r="A26" s="465" t="s">
        <v>42</v>
      </c>
      <c r="B26" s="471"/>
      <c r="C26" s="471"/>
      <c r="D26" s="471"/>
      <c r="E26" s="471"/>
      <c r="F26" s="471"/>
      <c r="G26" s="471"/>
      <c r="H26" s="351"/>
    </row>
    <row r="27" spans="1:10" ht="12" customHeight="1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>
      <c r="A28" s="465" t="s">
        <v>10</v>
      </c>
      <c r="B28" s="465"/>
      <c r="C28" s="465"/>
      <c r="D28" s="465"/>
      <c r="E28" s="465"/>
      <c r="F28" s="465"/>
      <c r="G28" s="465"/>
      <c r="H28" s="350"/>
    </row>
    <row r="29" spans="1:10" ht="27" customHeight="1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>
      <c r="A30" s="37"/>
      <c r="B30" s="37"/>
      <c r="C30" s="56"/>
      <c r="D30" s="37"/>
      <c r="E30" s="37"/>
      <c r="F30" s="38"/>
      <c r="H30" s="350"/>
    </row>
    <row r="31" spans="1:10" ht="18" customHeight="1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>
      <c r="A32" s="40"/>
      <c r="B32" s="41"/>
      <c r="C32" s="56"/>
      <c r="D32" s="37"/>
      <c r="E32" s="37"/>
      <c r="F32" s="37"/>
      <c r="G32" s="37"/>
      <c r="H32" s="350"/>
    </row>
    <row r="33" spans="1:8" ht="12.75" customHeight="1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>
      <c r="A34" s="44"/>
      <c r="B34" s="36"/>
      <c r="C34" s="56"/>
      <c r="D34" s="37"/>
      <c r="E34" s="37"/>
      <c r="F34" s="37"/>
      <c r="G34" s="37"/>
      <c r="H34" s="350"/>
    </row>
    <row r="35" spans="1:8" ht="12.75" customHeight="1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>
      <c r="A36" s="26"/>
      <c r="B36" s="43"/>
      <c r="C36" s="177"/>
      <c r="D36" s="36"/>
      <c r="E36" s="36"/>
      <c r="F36" s="36"/>
      <c r="G36" s="37"/>
      <c r="H36" s="350"/>
    </row>
    <row r="37" spans="1:8" ht="12.75" customHeight="1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>
      <c r="A38" s="44"/>
      <c r="B38" s="430" t="s">
        <v>307</v>
      </c>
      <c r="C38" s="61" t="s">
        <v>156</v>
      </c>
      <c r="D38" s="429">
        <v>64.400000000000006</v>
      </c>
      <c r="E38" s="429">
        <v>13.84</v>
      </c>
      <c r="F38" s="359">
        <f>+D38*E38</f>
        <v>891.29600000000005</v>
      </c>
      <c r="G38" s="37"/>
      <c r="H38" s="350"/>
    </row>
    <row r="39" spans="1:8" ht="12.75" customHeight="1">
      <c r="A39" s="44"/>
      <c r="B39" s="430" t="s">
        <v>295</v>
      </c>
      <c r="C39" s="61" t="s">
        <v>156</v>
      </c>
      <c r="D39" s="429">
        <v>18235.745800000001</v>
      </c>
      <c r="E39" s="429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>
      <c r="A40" s="44"/>
      <c r="B40" s="430" t="s">
        <v>135</v>
      </c>
      <c r="C40" s="61" t="s">
        <v>156</v>
      </c>
      <c r="D40" s="429">
        <v>7294.7867999999999</v>
      </c>
      <c r="E40" s="429">
        <v>13.14</v>
      </c>
      <c r="F40" s="359">
        <f t="shared" si="0"/>
        <v>95853.498552000005</v>
      </c>
      <c r="G40" s="37"/>
      <c r="H40" s="350"/>
    </row>
    <row r="41" spans="1:8" ht="12.75" customHeight="1">
      <c r="A41" s="44"/>
      <c r="B41" s="430" t="s">
        <v>136</v>
      </c>
      <c r="C41" s="61" t="s">
        <v>156</v>
      </c>
      <c r="D41" s="429">
        <v>25441.623100000001</v>
      </c>
      <c r="E41" s="429">
        <v>11.84</v>
      </c>
      <c r="F41" s="359">
        <f t="shared" si="0"/>
        <v>301228.81750399998</v>
      </c>
      <c r="G41" s="37"/>
      <c r="H41" s="350"/>
    </row>
    <row r="42" spans="1:8" ht="12.75" customHeight="1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>
      <c r="A52" s="40"/>
      <c r="B52" s="467" t="s">
        <v>3</v>
      </c>
      <c r="C52" s="468"/>
      <c r="D52" s="468"/>
      <c r="E52" s="469"/>
      <c r="F52" s="3" t="e">
        <f>SUM(F49:F51)</f>
        <v>#REF!</v>
      </c>
      <c r="G52" s="37"/>
      <c r="H52" s="350"/>
    </row>
    <row r="53" spans="1:8" ht="13.5" hidden="1" customHeight="1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>
      <c r="A62" s="26"/>
      <c r="B62" s="467" t="s">
        <v>3</v>
      </c>
      <c r="C62" s="468"/>
      <c r="D62" s="468"/>
      <c r="E62" s="469"/>
      <c r="F62" s="3" t="e">
        <f>SUM(F59:F61)</f>
        <v>#REF!</v>
      </c>
      <c r="G62" s="37"/>
      <c r="H62" s="350"/>
    </row>
    <row r="63" spans="1:8" ht="13.5" hidden="1" customHeight="1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>
      <c r="B76" s="467" t="s">
        <v>3</v>
      </c>
      <c r="C76" s="468"/>
      <c r="D76" s="468"/>
      <c r="E76" s="469"/>
      <c r="F76" s="3" t="e">
        <f>SUM(F73:F75)</f>
        <v>#REF!</v>
      </c>
      <c r="G76" s="37"/>
      <c r="H76" s="350"/>
    </row>
    <row r="77" spans="1:8" ht="13.5" hidden="1" customHeight="1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>
      <c r="A87" s="26"/>
      <c r="B87" s="467" t="s">
        <v>3</v>
      </c>
      <c r="C87" s="468"/>
      <c r="D87" s="468"/>
      <c r="E87" s="469"/>
      <c r="F87" s="3" t="e">
        <f>SUM(F84:F86)</f>
        <v>#REF!</v>
      </c>
      <c r="G87" s="37"/>
      <c r="H87" s="350"/>
    </row>
    <row r="88" spans="1:8" ht="13.5" hidden="1" customHeight="1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>
      <c r="A99" s="26"/>
      <c r="B99" s="467" t="s">
        <v>3</v>
      </c>
      <c r="C99" s="468"/>
      <c r="D99" s="468"/>
      <c r="E99" s="469"/>
      <c r="F99" s="3" t="e">
        <f>SUM(F96:F98)</f>
        <v>#REF!</v>
      </c>
      <c r="G99" s="37"/>
      <c r="H99" s="350"/>
    </row>
    <row r="100" spans="1:8" ht="13.5" hidden="1" customHeight="1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>
      <c r="B102" s="43"/>
      <c r="C102" s="56"/>
      <c r="D102" s="37"/>
      <c r="E102" s="37"/>
      <c r="F102" s="37"/>
      <c r="G102" s="37"/>
      <c r="H102" s="350"/>
    </row>
    <row r="103" spans="1:8" ht="13.5" hidden="1" customHeight="1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>
      <c r="A111" s="26"/>
      <c r="B111" s="467" t="s">
        <v>3</v>
      </c>
      <c r="C111" s="468"/>
      <c r="D111" s="468"/>
      <c r="E111" s="469"/>
      <c r="F111" s="3" t="e">
        <f>SUM(F108:F110)</f>
        <v>#REF!</v>
      </c>
      <c r="G111" s="37"/>
      <c r="H111" s="350"/>
    </row>
    <row r="112" spans="1:8" ht="13.5" hidden="1" customHeight="1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>
      <c r="B113" s="43" t="s">
        <v>52</v>
      </c>
      <c r="C113" s="56"/>
      <c r="D113" s="37"/>
      <c r="E113" s="37"/>
      <c r="F113" s="37"/>
      <c r="H113" s="350"/>
    </row>
    <row r="114" spans="1:8" ht="13.5" hidden="1" customHeight="1">
      <c r="B114" s="43"/>
      <c r="C114" s="56"/>
      <c r="D114" s="37"/>
      <c r="E114" s="37"/>
      <c r="F114" s="37"/>
      <c r="G114" s="37"/>
      <c r="H114" s="350"/>
    </row>
    <row r="115" spans="1:8" ht="13.5" hidden="1" customHeight="1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>
      <c r="A121" s="26"/>
      <c r="B121" s="467" t="s">
        <v>3</v>
      </c>
      <c r="C121" s="468"/>
      <c r="D121" s="468"/>
      <c r="E121" s="469"/>
      <c r="F121" s="3" t="e">
        <f>SUM(F118:F120)</f>
        <v>#REF!</v>
      </c>
      <c r="G121" s="37"/>
      <c r="H121" s="350"/>
    </row>
    <row r="122" spans="1:8" ht="13.5" hidden="1" customHeight="1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>
      <c r="B126" s="43"/>
      <c r="C126" s="177"/>
      <c r="D126" s="36"/>
      <c r="E126" s="36"/>
      <c r="F126" s="36"/>
      <c r="G126" s="37"/>
      <c r="H126" s="350"/>
    </row>
    <row r="127" spans="1:8" ht="13.5" hidden="1" customHeight="1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>
      <c r="A131" s="26"/>
      <c r="B131" s="467" t="s">
        <v>3</v>
      </c>
      <c r="C131" s="468"/>
      <c r="D131" s="468"/>
      <c r="E131" s="469"/>
      <c r="F131" s="3" t="e">
        <f>SUM(F128:F130)</f>
        <v>#REF!</v>
      </c>
      <c r="G131" s="37"/>
      <c r="H131" s="350"/>
    </row>
    <row r="132" spans="1:8" ht="13.5" hidden="1" customHeight="1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>
      <c r="A140" s="44"/>
      <c r="B140" s="475" t="s">
        <v>3</v>
      </c>
      <c r="C140" s="476"/>
      <c r="D140" s="476"/>
      <c r="E140" s="477"/>
      <c r="F140" s="3">
        <f>SUM(F136:F139)</f>
        <v>0</v>
      </c>
      <c r="G140" s="37"/>
      <c r="H140" s="351"/>
    </row>
    <row r="141" spans="1:8" ht="13.5" hidden="1" customHeight="1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>
      <c r="A152" s="38"/>
      <c r="B152" s="475" t="s">
        <v>3</v>
      </c>
      <c r="C152" s="476"/>
      <c r="D152" s="476"/>
      <c r="E152" s="477"/>
      <c r="F152" s="10">
        <f>SUM(F145:F151)</f>
        <v>0</v>
      </c>
      <c r="G152" s="32"/>
      <c r="H152" s="350"/>
    </row>
    <row r="153" spans="1:8" ht="13.5" hidden="1" customHeight="1">
      <c r="B153" s="57"/>
      <c r="C153" s="50"/>
      <c r="D153" s="38"/>
      <c r="E153" s="38"/>
      <c r="F153" s="38"/>
      <c r="H153" s="350"/>
    </row>
    <row r="154" spans="1:8" ht="13.5" hidden="1" customHeight="1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>
      <c r="B155" s="49"/>
      <c r="C155" s="50"/>
      <c r="D155" s="38"/>
      <c r="E155" s="51"/>
      <c r="F155" s="58"/>
      <c r="H155" s="350"/>
    </row>
    <row r="156" spans="1:8" ht="14.85" customHeight="1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>
      <c r="A157" s="51"/>
      <c r="B157" s="49"/>
      <c r="C157" s="50"/>
      <c r="D157" s="50"/>
      <c r="E157" s="50"/>
      <c r="F157" s="38"/>
      <c r="H157" s="350"/>
    </row>
    <row r="158" spans="1:8" ht="14.85" customHeight="1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>
      <c r="A434" s="38"/>
      <c r="B434" s="475" t="s">
        <v>3</v>
      </c>
      <c r="C434" s="476"/>
      <c r="D434" s="476"/>
      <c r="E434" s="477"/>
      <c r="F434" s="329">
        <f>SUM(F159:F433)</f>
        <v>1377483.6683410008</v>
      </c>
      <c r="G434" s="291"/>
      <c r="H434" s="357"/>
    </row>
    <row r="435" spans="1:8" ht="14.85" customHeight="1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>
      <c r="A438" s="38"/>
      <c r="B438" s="49"/>
      <c r="C438" s="50"/>
      <c r="D438" s="38"/>
      <c r="E438" s="38"/>
      <c r="F438" s="38"/>
      <c r="H438" s="357"/>
    </row>
    <row r="439" spans="1:8" ht="14.85" customHeight="1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>
      <c r="A459" s="38"/>
      <c r="B459" s="475" t="s">
        <v>3</v>
      </c>
      <c r="C459" s="476"/>
      <c r="D459" s="476"/>
      <c r="E459" s="477"/>
      <c r="F459" s="257">
        <f>SUM(F440:F458)</f>
        <v>168504.07309999995</v>
      </c>
      <c r="G459" s="291"/>
      <c r="H459" s="357"/>
    </row>
    <row r="460" spans="1:8" ht="14.85" customHeight="1">
      <c r="A460" s="38"/>
      <c r="B460" s="62"/>
      <c r="C460" s="62"/>
      <c r="D460" s="62"/>
      <c r="E460" s="62"/>
      <c r="F460" s="37"/>
      <c r="H460" s="357"/>
    </row>
    <row r="461" spans="1:8" ht="14.85" customHeight="1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>
      <c r="A463" s="38"/>
      <c r="B463" s="49"/>
      <c r="C463" s="50"/>
      <c r="D463" s="38"/>
      <c r="E463" s="38"/>
      <c r="F463" s="38"/>
      <c r="H463" s="357"/>
    </row>
    <row r="464" spans="1:8" ht="14.85" customHeight="1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>
      <c r="A467" s="38"/>
      <c r="B467" s="475" t="s">
        <v>3</v>
      </c>
      <c r="C467" s="476"/>
      <c r="D467" s="476"/>
      <c r="E467" s="477"/>
      <c r="F467" s="257">
        <f>SUM(F465:F466)</f>
        <v>0</v>
      </c>
      <c r="G467" s="291"/>
      <c r="H467" s="357"/>
    </row>
    <row r="468" spans="1:8" ht="14.85" customHeight="1">
      <c r="A468" s="38"/>
      <c r="B468" s="62"/>
      <c r="C468" s="62"/>
      <c r="D468" s="62"/>
      <c r="E468" s="62"/>
      <c r="F468" s="37"/>
      <c r="H468" s="357"/>
    </row>
    <row r="469" spans="1:8" ht="14.85" customHeight="1">
      <c r="A469" s="38"/>
      <c r="H469" s="357"/>
    </row>
    <row r="470" spans="1:8" ht="14.85" customHeight="1">
      <c r="A470" s="38"/>
      <c r="H470" s="357"/>
    </row>
    <row r="471" spans="1:8" ht="14.85" customHeight="1">
      <c r="A471" s="480" t="s">
        <v>73</v>
      </c>
      <c r="B471" s="480"/>
      <c r="C471" s="480"/>
      <c r="D471" s="480"/>
      <c r="E471" s="480"/>
      <c r="F471" s="175" t="s">
        <v>0</v>
      </c>
      <c r="G471" s="58">
        <f>+G20</f>
        <v>2219685.8299930007</v>
      </c>
      <c r="H471" s="357"/>
    </row>
    <row r="472" spans="1:8" ht="14.85" customHeight="1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>
      <c r="A475" s="37"/>
      <c r="B475" s="480"/>
      <c r="C475" s="481"/>
      <c r="D475" s="481"/>
      <c r="E475" s="481"/>
      <c r="F475" s="41"/>
      <c r="G475" s="341"/>
      <c r="H475" s="357"/>
    </row>
    <row r="476" spans="1:8" ht="14.85" hidden="1" customHeight="1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>
      <c r="A479" s="480"/>
      <c r="B479" s="480"/>
      <c r="C479" s="480"/>
      <c r="D479" s="480"/>
      <c r="E479" s="480"/>
      <c r="F479" s="175"/>
      <c r="G479" s="41"/>
      <c r="H479" s="357"/>
    </row>
    <row r="480" spans="1:8" ht="14.25" hidden="1" customHeight="1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>
      <c r="A486" s="478"/>
      <c r="B486" s="478"/>
      <c r="C486" s="478"/>
      <c r="D486" s="478"/>
      <c r="E486" s="478"/>
      <c r="F486" s="346"/>
      <c r="G486" s="347"/>
      <c r="H486" s="311"/>
    </row>
    <row r="487" spans="1:8" ht="14.25" customHeight="1">
      <c r="H487" s="311"/>
    </row>
    <row r="488" spans="1:8" ht="14.25" customHeight="1">
      <c r="G488" s="32"/>
      <c r="H488" s="311"/>
    </row>
    <row r="489" spans="1:8" ht="14.25" customHeight="1">
      <c r="G489" s="32"/>
      <c r="H489" s="311"/>
    </row>
    <row r="490" spans="1:8" ht="18" customHeight="1">
      <c r="G490" s="32"/>
      <c r="H490" s="311"/>
    </row>
    <row r="491" spans="1:8">
      <c r="H491" s="311"/>
    </row>
    <row r="492" spans="1:8">
      <c r="H492" s="311"/>
    </row>
    <row r="493" spans="1:8">
      <c r="H493" s="311"/>
    </row>
    <row r="494" spans="1:8">
      <c r="H494" s="311"/>
    </row>
    <row r="495" spans="1:8">
      <c r="H495" s="311"/>
    </row>
    <row r="496" spans="1:8">
      <c r="H496" s="311"/>
    </row>
    <row r="497" spans="8:8">
      <c r="H497" s="311"/>
    </row>
    <row r="498" spans="8:8">
      <c r="H498" s="311"/>
    </row>
    <row r="499" spans="8:8">
      <c r="H499" s="311"/>
    </row>
    <row r="500" spans="8:8">
      <c r="H500" s="311"/>
    </row>
    <row r="501" spans="8:8">
      <c r="H501" s="311"/>
    </row>
    <row r="502" spans="8:8">
      <c r="H502" s="311"/>
    </row>
    <row r="503" spans="8:8">
      <c r="H503" s="311"/>
    </row>
    <row r="504" spans="8:8">
      <c r="H504" s="311"/>
    </row>
    <row r="505" spans="8:8">
      <c r="H505" s="311"/>
    </row>
    <row r="506" spans="8:8">
      <c r="H506" s="311"/>
    </row>
    <row r="507" spans="8:8">
      <c r="H507" s="311"/>
    </row>
    <row r="508" spans="8:8">
      <c r="H508" s="311"/>
    </row>
    <row r="509" spans="8:8">
      <c r="H509" s="311"/>
    </row>
    <row r="510" spans="8:8">
      <c r="H510" s="311"/>
    </row>
    <row r="511" spans="8:8">
      <c r="H511" s="311"/>
    </row>
    <row r="512" spans="8:8">
      <c r="H512" s="311"/>
    </row>
    <row r="513" spans="8:8">
      <c r="H513" s="311"/>
    </row>
    <row r="514" spans="8:8">
      <c r="H514" s="311"/>
    </row>
    <row r="515" spans="8:8">
      <c r="H515" s="311"/>
    </row>
    <row r="516" spans="8:8">
      <c r="H516" s="311"/>
    </row>
    <row r="517" spans="8:8">
      <c r="H517" s="311"/>
    </row>
    <row r="518" spans="8:8">
      <c r="H518" s="311"/>
    </row>
    <row r="519" spans="8:8">
      <c r="H519" s="311"/>
    </row>
    <row r="520" spans="8:8">
      <c r="H520" s="311"/>
    </row>
    <row r="521" spans="8:8">
      <c r="H521" s="311"/>
    </row>
    <row r="522" spans="8:8">
      <c r="H522" s="311"/>
    </row>
    <row r="523" spans="8:8">
      <c r="H523" s="311"/>
    </row>
    <row r="524" spans="8:8">
      <c r="H524" s="311"/>
    </row>
    <row r="525" spans="8:8">
      <c r="H525" s="311"/>
    </row>
    <row r="526" spans="8:8">
      <c r="H526" s="311"/>
    </row>
    <row r="527" spans="8:8">
      <c r="H527" s="311"/>
    </row>
    <row r="528" spans="8:8">
      <c r="H528" s="311"/>
    </row>
    <row r="529" spans="8:8">
      <c r="H529" s="311"/>
    </row>
    <row r="530" spans="8:8">
      <c r="H530" s="311"/>
    </row>
    <row r="531" spans="8:8">
      <c r="H531" s="311"/>
    </row>
    <row r="532" spans="8:8">
      <c r="H532" s="311"/>
    </row>
    <row r="533" spans="8:8">
      <c r="H533" s="311"/>
    </row>
    <row r="534" spans="8:8">
      <c r="H534" s="311"/>
    </row>
    <row r="535" spans="8:8">
      <c r="H535" s="311"/>
    </row>
    <row r="536" spans="8:8">
      <c r="H536" s="311"/>
    </row>
    <row r="537" spans="8:8">
      <c r="H537" s="311"/>
    </row>
    <row r="538" spans="8:8">
      <c r="H538" s="311"/>
    </row>
    <row r="539" spans="8:8">
      <c r="H539" s="311"/>
    </row>
    <row r="540" spans="8:8">
      <c r="H540" s="311"/>
    </row>
    <row r="541" spans="8:8">
      <c r="H541" s="311"/>
    </row>
    <row r="542" spans="8:8">
      <c r="H542" s="311"/>
    </row>
    <row r="543" spans="8:8">
      <c r="H543" s="311"/>
    </row>
    <row r="544" spans="8:8">
      <c r="H544" s="311"/>
    </row>
    <row r="545" spans="8:8">
      <c r="H545" s="311"/>
    </row>
    <row r="546" spans="8:8">
      <c r="H546" s="311"/>
    </row>
    <row r="547" spans="8:8">
      <c r="H547" s="311"/>
    </row>
    <row r="548" spans="8:8">
      <c r="H548" s="311"/>
    </row>
    <row r="549" spans="8:8">
      <c r="H549" s="311"/>
    </row>
    <row r="550" spans="8:8">
      <c r="H550" s="311"/>
    </row>
    <row r="551" spans="8:8">
      <c r="H551" s="311"/>
    </row>
    <row r="552" spans="8:8">
      <c r="H552" s="311"/>
    </row>
    <row r="553" spans="8:8">
      <c r="H553" s="311"/>
    </row>
    <row r="554" spans="8:8">
      <c r="H554" s="311"/>
    </row>
    <row r="555" spans="8:8">
      <c r="H555" s="311"/>
    </row>
    <row r="556" spans="8:8">
      <c r="H556" s="311"/>
    </row>
    <row r="557" spans="8:8">
      <c r="H557" s="311"/>
    </row>
    <row r="558" spans="8:8">
      <c r="H558" s="311"/>
    </row>
    <row r="559" spans="8:8">
      <c r="H559" s="311"/>
    </row>
    <row r="560" spans="8:8">
      <c r="H560" s="311"/>
    </row>
    <row r="561" spans="8:8">
      <c r="H561" s="311"/>
    </row>
    <row r="562" spans="8:8">
      <c r="H562" s="311"/>
    </row>
    <row r="563" spans="8:8">
      <c r="H563" s="311"/>
    </row>
    <row r="564" spans="8:8">
      <c r="H564" s="311"/>
    </row>
    <row r="565" spans="8:8">
      <c r="H565" s="311"/>
    </row>
    <row r="566" spans="8:8">
      <c r="H566" s="311"/>
    </row>
    <row r="567" spans="8:8">
      <c r="H567" s="311"/>
    </row>
    <row r="568" spans="8:8">
      <c r="H568" s="311"/>
    </row>
    <row r="569" spans="8:8">
      <c r="H569" s="311"/>
    </row>
    <row r="570" spans="8:8">
      <c r="H570" s="311"/>
    </row>
    <row r="571" spans="8:8">
      <c r="H571" s="311"/>
    </row>
    <row r="572" spans="8:8">
      <c r="H572" s="311"/>
    </row>
    <row r="573" spans="8:8">
      <c r="H573" s="311"/>
    </row>
    <row r="574" spans="8:8">
      <c r="H574" s="311"/>
    </row>
    <row r="575" spans="8:8">
      <c r="H575" s="311"/>
    </row>
    <row r="576" spans="8:8">
      <c r="H576" s="311"/>
    </row>
    <row r="577" spans="8:8">
      <c r="H577" s="311"/>
    </row>
    <row r="578" spans="8:8">
      <c r="H578" s="311"/>
    </row>
    <row r="579" spans="8:8">
      <c r="H579" s="311"/>
    </row>
    <row r="580" spans="8:8">
      <c r="H580" s="311"/>
    </row>
    <row r="581" spans="8:8">
      <c r="H581" s="311"/>
    </row>
    <row r="582" spans="8:8">
      <c r="H582" s="311"/>
    </row>
    <row r="583" spans="8:8">
      <c r="H583" s="311"/>
    </row>
    <row r="584" spans="8:8">
      <c r="H584" s="311"/>
    </row>
    <row r="585" spans="8:8">
      <c r="H585" s="311"/>
    </row>
    <row r="586" spans="8:8">
      <c r="H586" s="311"/>
    </row>
    <row r="587" spans="8:8">
      <c r="H587" s="311"/>
    </row>
    <row r="588" spans="8:8">
      <c r="H588" s="311"/>
    </row>
    <row r="589" spans="8:8">
      <c r="H589" s="311"/>
    </row>
    <row r="590" spans="8:8">
      <c r="H590" s="311"/>
    </row>
    <row r="591" spans="8:8">
      <c r="H591" s="311"/>
    </row>
  </sheetData>
  <mergeCells count="23"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  <mergeCell ref="B76:E76"/>
    <mergeCell ref="A3:G3"/>
    <mergeCell ref="B87:E87"/>
    <mergeCell ref="A26:G26"/>
    <mergeCell ref="B131:E131"/>
    <mergeCell ref="B121:E121"/>
    <mergeCell ref="B20:F20"/>
  </mergeCells>
  <phoneticPr fontId="0" type="noConversion"/>
  <conditionalFormatting sqref="C13:G13 C11">
    <cfRule type="aboveAverage" dxfId="11" priority="2" stopIfTrue="1" aboveAverage="0"/>
  </conditionalFormatting>
  <conditionalFormatting sqref="C11">
    <cfRule type="aboveAverage" dxfId="10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indexed="43"/>
    <pageSetUpPr fitToPage="1"/>
  </sheetPr>
  <dimension ref="A1:K233"/>
  <sheetViews>
    <sheetView view="pageBreakPreview" topLeftCell="A166" zoomScale="90" zoomScaleNormal="85" zoomScaleSheetLayoutView="90" zoomScalePageLayoutView="75" workbookViewId="0">
      <selection activeCell="C10" sqref="C10:G11"/>
    </sheetView>
  </sheetViews>
  <sheetFormatPr baseColWidth="10" defaultColWidth="11.44140625" defaultRowHeight="13.2"/>
  <cols>
    <col min="1" max="1" width="6" style="67" customWidth="1"/>
    <col min="2" max="2" width="46.33203125" style="70" customWidth="1"/>
    <col min="3" max="3" width="15.109375" style="70" customWidth="1"/>
    <col min="4" max="4" width="13.88671875" style="73" customWidth="1"/>
    <col min="5" max="5" width="12.5546875" style="73" customWidth="1"/>
    <col min="6" max="6" width="20.88671875" style="70" customWidth="1"/>
    <col min="7" max="7" width="16" style="70" customWidth="1"/>
    <col min="8" max="8" width="5.109375" style="63" customWidth="1"/>
    <col min="9" max="16384" width="11.44140625" style="63"/>
  </cols>
  <sheetData>
    <row r="1" spans="1:7" ht="21" customHeight="1"/>
    <row r="2" spans="1:7" ht="21" customHeight="1"/>
    <row r="3" spans="1:7" ht="27" customHeight="1">
      <c r="A3" s="492" t="s">
        <v>68</v>
      </c>
      <c r="B3" s="492"/>
      <c r="C3" s="492"/>
      <c r="D3" s="492"/>
      <c r="E3" s="492"/>
      <c r="F3" s="492"/>
      <c r="G3" s="492"/>
    </row>
    <row r="4" spans="1:7" ht="18" customHeight="1">
      <c r="A4" s="64"/>
      <c r="B4" s="65"/>
      <c r="C4" s="65"/>
      <c r="D4" s="66"/>
      <c r="E4" s="66"/>
      <c r="F4" s="65"/>
      <c r="G4" s="65"/>
    </row>
    <row r="5" spans="1:7" ht="18" customHeight="1">
      <c r="B5" s="68"/>
      <c r="C5" s="69"/>
      <c r="D5" s="66"/>
      <c r="E5" s="66"/>
      <c r="F5" s="65"/>
    </row>
    <row r="6" spans="1:7" ht="18" customHeight="1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>
      <c r="B9" s="29" t="s">
        <v>67</v>
      </c>
      <c r="C9" s="30" t="str">
        <f>'R'!C12</f>
        <v>:EDUCACIÓN PRIMARIA SECUNDARIA</v>
      </c>
      <c r="D9" s="25"/>
      <c r="E9" s="25"/>
      <c r="F9" s="25"/>
      <c r="G9" s="25"/>
    </row>
    <row r="10" spans="1:7" ht="18.75" customHeight="1">
      <c r="B10" s="29" t="s">
        <v>111</v>
      </c>
      <c r="C10" s="493" t="s">
        <v>654</v>
      </c>
      <c r="D10" s="464"/>
      <c r="E10" s="464"/>
      <c r="F10" s="464"/>
      <c r="G10" s="464"/>
    </row>
    <row r="11" spans="1:7" ht="18" customHeight="1">
      <c r="B11" s="29"/>
      <c r="C11" s="464"/>
      <c r="D11" s="464"/>
      <c r="E11" s="464"/>
      <c r="F11" s="464"/>
      <c r="G11" s="464"/>
    </row>
    <row r="12" spans="1:7" ht="18" customHeight="1">
      <c r="B12" s="29"/>
      <c r="C12" s="33"/>
      <c r="D12" s="33"/>
      <c r="E12" s="33"/>
      <c r="F12" s="33"/>
      <c r="G12" s="33"/>
    </row>
    <row r="13" spans="1:7" ht="18" customHeight="1" thickBot="1">
      <c r="B13" s="29"/>
      <c r="C13" s="255"/>
      <c r="D13" s="255"/>
      <c r="E13" s="255"/>
      <c r="F13" s="255"/>
      <c r="G13" s="255"/>
    </row>
    <row r="14" spans="1:7" s="182" customFormat="1" ht="20.25" customHeight="1" thickBot="1">
      <c r="A14" s="183"/>
      <c r="B14" s="224" t="s">
        <v>36</v>
      </c>
      <c r="C14" s="494" t="s">
        <v>37</v>
      </c>
      <c r="D14" s="494"/>
      <c r="E14" s="494"/>
      <c r="F14" s="494"/>
      <c r="G14" s="225" t="s">
        <v>38</v>
      </c>
    </row>
    <row r="15" spans="1:7" s="182" customFormat="1" ht="20.25" customHeight="1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>
      <c r="A19" s="183"/>
      <c r="B19" s="495" t="s">
        <v>41</v>
      </c>
      <c r="C19" s="496"/>
      <c r="D19" s="496"/>
      <c r="E19" s="496"/>
      <c r="F19" s="496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>
      <c r="B20" s="29"/>
      <c r="C20" s="71"/>
      <c r="D20" s="72"/>
    </row>
    <row r="21" spans="1:11" ht="18" customHeight="1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>
      <c r="A23" s="77"/>
      <c r="B23" s="77"/>
      <c r="C23" s="78"/>
      <c r="D23" s="79"/>
      <c r="E23" s="79"/>
      <c r="F23" s="80"/>
    </row>
    <row r="24" spans="1:11" ht="27" customHeight="1">
      <c r="A24" s="490" t="s">
        <v>42</v>
      </c>
      <c r="B24" s="491"/>
      <c r="C24" s="491"/>
      <c r="D24" s="491"/>
      <c r="E24" s="491"/>
      <c r="F24" s="491"/>
      <c r="G24" s="491"/>
      <c r="K24" s="63">
        <v>167173.35999999999</v>
      </c>
    </row>
    <row r="25" spans="1:11" ht="20.25" customHeight="1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>
      <c r="A26" s="490" t="s">
        <v>43</v>
      </c>
      <c r="B26" s="490"/>
      <c r="C26" s="490"/>
      <c r="D26" s="490"/>
      <c r="E26" s="490"/>
      <c r="F26" s="490"/>
      <c r="G26" s="490"/>
    </row>
    <row r="27" spans="1:11" ht="12.75" customHeight="1">
      <c r="A27" s="64"/>
      <c r="B27" s="64"/>
      <c r="C27" s="82"/>
      <c r="D27" s="81"/>
      <c r="E27" s="81"/>
      <c r="F27" s="64"/>
      <c r="G27" s="64"/>
    </row>
    <row r="28" spans="1:11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5.6">
      <c r="A29" s="226"/>
      <c r="C29" s="212"/>
      <c r="D29" s="212"/>
      <c r="E29" s="213"/>
      <c r="F29" s="213"/>
      <c r="G29" s="214"/>
      <c r="H29" s="222"/>
    </row>
    <row r="30" spans="1:11" ht="16.5" customHeight="1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>
      <c r="A31" s="89"/>
      <c r="B31" s="90"/>
      <c r="C31" s="85"/>
      <c r="D31" s="86"/>
      <c r="E31" s="86"/>
      <c r="F31" s="85"/>
      <c r="G31" s="85"/>
    </row>
    <row r="32" spans="1:11" ht="12.75" customHeight="1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>
      <c r="A33" s="93"/>
      <c r="B33" s="78"/>
      <c r="C33" s="85"/>
      <c r="D33" s="86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>
      <c r="A35" s="64"/>
      <c r="B35" s="92"/>
      <c r="C35" s="78"/>
      <c r="D35" s="94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>
      <c r="B46" s="497" t="s">
        <v>3</v>
      </c>
      <c r="C46" s="497"/>
      <c r="D46" s="497"/>
      <c r="E46" s="497"/>
      <c r="F46" s="259">
        <f>SUM(F37:F45)</f>
        <v>42000</v>
      </c>
      <c r="G46" s="78"/>
    </row>
    <row r="47" spans="1:9" ht="12.75" customHeight="1">
      <c r="A47" s="64"/>
      <c r="B47" s="85"/>
      <c r="C47" s="85"/>
      <c r="D47" s="86"/>
      <c r="E47" s="86"/>
      <c r="F47" s="85"/>
      <c r="G47" s="85"/>
    </row>
    <row r="48" spans="1:9" ht="12.75" customHeight="1">
      <c r="A48" s="89"/>
      <c r="B48" s="90"/>
      <c r="C48" s="85"/>
      <c r="D48" s="86"/>
      <c r="E48" s="86"/>
      <c r="F48" s="85"/>
      <c r="G48" s="85"/>
    </row>
    <row r="49" spans="1:7" s="18" customFormat="1" ht="12.75" customHeight="1">
      <c r="A49" s="26"/>
      <c r="B49" s="37"/>
      <c r="C49" s="37"/>
      <c r="D49" s="56"/>
      <c r="E49" s="56"/>
      <c r="F49" s="37"/>
      <c r="G49" s="37"/>
    </row>
    <row r="50" spans="1:7" s="18" customFormat="1" ht="12.75" customHeight="1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>
      <c r="A51" s="89"/>
      <c r="B51" s="90"/>
      <c r="C51" s="85"/>
      <c r="D51" s="86"/>
      <c r="E51" s="86"/>
      <c r="F51" s="85"/>
      <c r="G51" s="85"/>
    </row>
    <row r="52" spans="1:7" s="18" customFormat="1" ht="15.6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>
      <c r="A53" s="91"/>
      <c r="B53" s="92"/>
      <c r="C53" s="85"/>
      <c r="D53" s="86"/>
      <c r="E53" s="86"/>
      <c r="F53" s="85"/>
      <c r="G53" s="85"/>
    </row>
    <row r="54" spans="1:7" s="18" customFormat="1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>
      <c r="A55" s="93"/>
      <c r="B55" s="92"/>
      <c r="C55" s="78"/>
      <c r="D55" s="94"/>
      <c r="E55" s="94"/>
      <c r="F55" s="85"/>
      <c r="G55" s="85"/>
    </row>
    <row r="56" spans="1:7" s="18" customForma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>
      <c r="A66" s="64"/>
      <c r="B66" s="484" t="s">
        <v>3</v>
      </c>
      <c r="C66" s="485"/>
      <c r="D66" s="485"/>
      <c r="E66" s="486"/>
      <c r="F66" s="259">
        <f>SUM(F57:F65)</f>
        <v>4095</v>
      </c>
      <c r="G66" s="85"/>
    </row>
    <row r="67" spans="1:7" ht="12.75" customHeight="1">
      <c r="A67" s="64"/>
      <c r="B67" s="101"/>
      <c r="C67" s="101"/>
      <c r="D67" s="86"/>
      <c r="E67" s="86"/>
      <c r="F67" s="85"/>
      <c r="G67" s="85"/>
    </row>
    <row r="68" spans="1:7" ht="12.75" customHeight="1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>
      <c r="A69" s="91"/>
      <c r="B69" s="92"/>
      <c r="C69" s="85"/>
      <c r="D69" s="86"/>
      <c r="E69" s="86"/>
      <c r="F69" s="85"/>
      <c r="G69" s="85"/>
    </row>
    <row r="70" spans="1:7" ht="12.75" customHeight="1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>
      <c r="A71" s="64"/>
      <c r="B71" s="92"/>
      <c r="C71" s="78"/>
      <c r="D71" s="94"/>
      <c r="E71" s="94"/>
      <c r="F71" s="85"/>
      <c r="G71" s="85"/>
    </row>
    <row r="72" spans="1:7" ht="12.75" customHeight="1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>
      <c r="A82" s="64"/>
      <c r="B82" s="487" t="s">
        <v>3</v>
      </c>
      <c r="C82" s="488"/>
      <c r="D82" s="488"/>
      <c r="E82" s="489"/>
      <c r="F82" s="259">
        <f>SUM(F73:F81)</f>
        <v>705.25</v>
      </c>
      <c r="G82" s="85"/>
    </row>
    <row r="83" spans="1:7" ht="12.75" customHeight="1">
      <c r="A83" s="64"/>
      <c r="B83" s="118"/>
      <c r="C83" s="118"/>
      <c r="D83" s="118"/>
      <c r="E83" s="118"/>
      <c r="F83" s="85"/>
      <c r="G83" s="85"/>
    </row>
    <row r="84" spans="1:7" ht="15" customHeight="1">
      <c r="A84" s="64"/>
      <c r="B84" s="85"/>
      <c r="C84" s="85"/>
      <c r="D84" s="86"/>
      <c r="E84" s="86"/>
      <c r="F84" s="85"/>
      <c r="G84" s="85"/>
    </row>
    <row r="85" spans="1:7" ht="14.25" customHeight="1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>
      <c r="A86" s="83"/>
      <c r="B86" s="84"/>
      <c r="C86" s="85"/>
      <c r="D86" s="78"/>
      <c r="E86" s="16"/>
      <c r="F86" s="87"/>
      <c r="G86" s="88"/>
    </row>
    <row r="87" spans="1:7" ht="15" customHeight="1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>
      <c r="A88" s="91"/>
      <c r="B88" s="92"/>
      <c r="C88" s="85"/>
      <c r="D88" s="86"/>
      <c r="E88" s="86"/>
      <c r="F88" s="85"/>
      <c r="G88" s="85"/>
    </row>
    <row r="89" spans="1:7" ht="14.25" customHeight="1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>
      <c r="A90" s="64"/>
      <c r="B90" s="106"/>
      <c r="C90" s="78"/>
      <c r="D90" s="94"/>
      <c r="E90" s="94"/>
      <c r="F90" s="78"/>
      <c r="G90" s="86"/>
    </row>
    <row r="91" spans="1:7" ht="12.75" customHeight="1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>
      <c r="A101" s="64"/>
      <c r="B101" s="487" t="s">
        <v>3</v>
      </c>
      <c r="C101" s="488"/>
      <c r="D101" s="488"/>
      <c r="E101" s="489"/>
      <c r="F101" s="259">
        <f>SUM(F92:F100)</f>
        <v>3499.9999999999995</v>
      </c>
      <c r="G101" s="85"/>
    </row>
    <row r="102" spans="1:7" ht="15" customHeight="1">
      <c r="A102" s="64"/>
      <c r="B102" s="85"/>
      <c r="C102" s="85"/>
      <c r="D102" s="86"/>
      <c r="E102" s="86"/>
      <c r="F102" s="85"/>
      <c r="G102" s="85"/>
    </row>
    <row r="103" spans="1:7" ht="15" customHeight="1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>
      <c r="A104" s="91"/>
      <c r="B104" s="92"/>
      <c r="C104" s="85"/>
      <c r="D104" s="86"/>
      <c r="E104" s="86"/>
      <c r="F104" s="85"/>
      <c r="G104" s="85"/>
    </row>
    <row r="105" spans="1:7" ht="14.25" customHeight="1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>
      <c r="A106" s="64"/>
      <c r="B106" s="106"/>
      <c r="C106" s="78"/>
      <c r="D106" s="94"/>
      <c r="E106" s="94"/>
      <c r="F106" s="78"/>
      <c r="G106" s="86"/>
    </row>
    <row r="107" spans="1:7" ht="12.75" customHeight="1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>
      <c r="A117" s="64"/>
      <c r="B117" s="487" t="s">
        <v>3</v>
      </c>
      <c r="C117" s="488"/>
      <c r="D117" s="488"/>
      <c r="E117" s="489"/>
      <c r="F117" s="259">
        <f>SUM(F108:F116)</f>
        <v>3499.9999999999995</v>
      </c>
      <c r="G117" s="85"/>
    </row>
    <row r="118" spans="1:7" ht="15" customHeight="1">
      <c r="A118" s="64"/>
      <c r="B118" s="85"/>
      <c r="C118" s="85"/>
      <c r="D118" s="86"/>
      <c r="E118" s="86"/>
      <c r="F118" s="85"/>
      <c r="G118" s="85"/>
    </row>
    <row r="119" spans="1:7" ht="14.25" customHeight="1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>
      <c r="A120" s="83"/>
      <c r="B120" s="39"/>
      <c r="C120" s="85"/>
      <c r="D120" s="78"/>
      <c r="E120" s="16"/>
      <c r="F120" s="87"/>
      <c r="G120" s="88"/>
    </row>
    <row r="121" spans="1:7" ht="15" customHeight="1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>
      <c r="A122" s="91"/>
      <c r="B122" s="92"/>
      <c r="C122" s="85"/>
      <c r="D122" s="86"/>
      <c r="E122" s="86"/>
      <c r="F122" s="85"/>
      <c r="G122" s="85"/>
    </row>
    <row r="123" spans="1:7" ht="14.25" customHeight="1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>
      <c r="A124" s="64"/>
      <c r="B124" s="106"/>
      <c r="C124" s="78"/>
      <c r="D124" s="94"/>
      <c r="E124" s="94"/>
      <c r="F124" s="78"/>
      <c r="G124" s="86"/>
    </row>
    <row r="125" spans="1:7" ht="12.75" customHeight="1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>
      <c r="A135" s="64"/>
      <c r="B135" s="487" t="s">
        <v>3</v>
      </c>
      <c r="C135" s="488"/>
      <c r="D135" s="488"/>
      <c r="E135" s="489"/>
      <c r="F135" s="259">
        <f>SUM(F126:F134)</f>
        <v>8333.3333333333321</v>
      </c>
      <c r="G135" s="85"/>
    </row>
    <row r="136" spans="1:8" ht="15" customHeight="1">
      <c r="A136" s="64"/>
      <c r="B136" s="85"/>
      <c r="C136" s="85"/>
      <c r="D136" s="86"/>
      <c r="E136" s="86"/>
      <c r="F136" s="85"/>
      <c r="G136" s="85"/>
    </row>
    <row r="137" spans="1:8" ht="15" customHeight="1">
      <c r="A137" s="64"/>
      <c r="B137" s="85"/>
      <c r="C137" s="85"/>
      <c r="D137" s="86"/>
      <c r="E137" s="86"/>
      <c r="F137" s="85"/>
      <c r="G137" s="85"/>
    </row>
    <row r="138" spans="1:8" s="182" customFormat="1" ht="15.6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5.6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>
      <c r="A145" s="64"/>
      <c r="B145" s="114"/>
      <c r="C145" s="100"/>
      <c r="D145" s="104"/>
      <c r="E145" s="104"/>
      <c r="F145" s="10"/>
      <c r="G145" s="103"/>
    </row>
    <row r="146" spans="1:7" ht="12.75" customHeight="1">
      <c r="A146" s="64"/>
      <c r="B146" s="483" t="s">
        <v>3</v>
      </c>
      <c r="C146" s="483"/>
      <c r="D146" s="483"/>
      <c r="E146" s="483"/>
      <c r="F146" s="135">
        <f>SUM(F143:F144)</f>
        <v>0</v>
      </c>
      <c r="G146" s="103"/>
    </row>
    <row r="147" spans="1:7" ht="12.75" customHeight="1">
      <c r="A147" s="93"/>
      <c r="B147" s="118"/>
      <c r="C147" s="118"/>
      <c r="D147" s="118"/>
      <c r="E147" s="118"/>
      <c r="F147" s="85"/>
      <c r="G147" s="78"/>
    </row>
    <row r="148" spans="1:7" ht="12.75" customHeight="1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>
      <c r="A149" s="83"/>
      <c r="B149" s="84"/>
      <c r="C149" s="85"/>
      <c r="D149" s="86"/>
      <c r="E149" s="16"/>
      <c r="F149" s="87"/>
      <c r="G149" s="88"/>
    </row>
    <row r="150" spans="1:7" ht="12.75" customHeight="1">
      <c r="A150" s="91"/>
      <c r="B150" s="92"/>
      <c r="C150" s="85"/>
      <c r="D150" s="86"/>
      <c r="E150" s="86"/>
      <c r="F150" s="85"/>
      <c r="G150" s="78"/>
    </row>
    <row r="151" spans="1:7" ht="12.75" customHeight="1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>
      <c r="A152" s="91"/>
      <c r="B152" s="92"/>
      <c r="C152" s="85"/>
      <c r="D152" s="86"/>
      <c r="E152" s="86"/>
      <c r="F152" s="85"/>
      <c r="G152" s="78"/>
    </row>
    <row r="153" spans="1:7" ht="12.75" customHeight="1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>
      <c r="A184" s="93"/>
      <c r="B184" s="483" t="s">
        <v>3</v>
      </c>
      <c r="C184" s="483"/>
      <c r="D184" s="483"/>
      <c r="E184" s="483"/>
      <c r="F184" s="98">
        <f>SUM(F154:F183)</f>
        <v>704.2</v>
      </c>
      <c r="G184" s="78"/>
    </row>
    <row r="185" spans="1:8" ht="13.5" customHeight="1">
      <c r="A185" s="93"/>
      <c r="B185" s="118"/>
      <c r="C185" s="118"/>
      <c r="D185" s="118"/>
      <c r="E185" s="118"/>
      <c r="F185" s="85"/>
      <c r="G185" s="78"/>
    </row>
    <row r="186" spans="1:8" ht="12.75" customHeight="1">
      <c r="A186" s="93"/>
      <c r="B186" s="118"/>
      <c r="C186" s="118"/>
      <c r="D186" s="118"/>
      <c r="E186" s="118"/>
      <c r="F186" s="85"/>
      <c r="G186" s="78"/>
    </row>
    <row r="187" spans="1:8" s="182" customFormat="1" ht="15.6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5.6">
      <c r="A188" s="210"/>
      <c r="B188" s="211"/>
      <c r="C188" s="212"/>
      <c r="D188" s="212"/>
      <c r="E188" s="213"/>
      <c r="F188" s="213"/>
      <c r="G188" s="214"/>
      <c r="H188" s="222"/>
    </row>
    <row r="189" spans="1:8">
      <c r="A189" s="91"/>
      <c r="B189" s="92"/>
      <c r="C189" s="85"/>
      <c r="D189" s="86"/>
      <c r="E189" s="86"/>
      <c r="F189" s="85"/>
      <c r="G189" s="78"/>
    </row>
    <row r="190" spans="1:8" ht="15.6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>
      <c r="A191" s="91"/>
      <c r="B191" s="92"/>
      <c r="C191" s="85"/>
      <c r="D191" s="86"/>
      <c r="E191" s="86"/>
      <c r="F191" s="85"/>
      <c r="G191" s="78"/>
    </row>
    <row r="192" spans="1:8" ht="14.25" customHeight="1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>
      <c r="A194" s="93"/>
      <c r="B194" s="483" t="s">
        <v>3</v>
      </c>
      <c r="C194" s="483"/>
      <c r="D194" s="483"/>
      <c r="E194" s="483"/>
      <c r="F194" s="98">
        <f>SUM(F193:F193)</f>
        <v>180</v>
      </c>
      <c r="G194" s="78"/>
    </row>
    <row r="195" spans="1:10" ht="12.75" customHeight="1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>
      <c r="A197" s="91"/>
      <c r="B197" s="92"/>
      <c r="C197" s="85"/>
      <c r="D197" s="86"/>
      <c r="E197" s="86"/>
      <c r="F197" s="85"/>
      <c r="G197" s="78"/>
    </row>
    <row r="198" spans="1:10" ht="12.75" customHeight="1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>
      <c r="A201" s="64"/>
      <c r="B201" s="483" t="s">
        <v>3</v>
      </c>
      <c r="C201" s="483"/>
      <c r="D201" s="483"/>
      <c r="E201" s="483"/>
      <c r="F201" s="98">
        <f>SUM(F200:F200)</f>
        <v>0</v>
      </c>
      <c r="G201" s="78"/>
    </row>
    <row r="202" spans="1:10" ht="12.75" customHeight="1">
      <c r="A202" s="64"/>
      <c r="B202" s="118"/>
      <c r="C202" s="118"/>
      <c r="D202" s="118"/>
      <c r="E202" s="118"/>
      <c r="F202" s="85"/>
      <c r="G202" s="78"/>
    </row>
    <row r="203" spans="1:10" ht="12.75" customHeight="1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>
      <c r="A204" s="482" t="s">
        <v>41</v>
      </c>
      <c r="B204" s="482"/>
      <c r="C204" s="482"/>
      <c r="D204" s="482"/>
      <c r="E204" s="482"/>
      <c r="F204" s="87" t="s">
        <v>0</v>
      </c>
      <c r="G204" s="88">
        <f>+G19</f>
        <v>63017.783333333326</v>
      </c>
    </row>
    <row r="205" spans="1:10" ht="12.75" customHeight="1"/>
    <row r="206" spans="1:10" ht="12.75" customHeight="1">
      <c r="G206" s="80"/>
    </row>
    <row r="207" spans="1:10" ht="12.75" customHeight="1">
      <c r="G207" s="88"/>
    </row>
    <row r="208" spans="1:10" ht="12.75" customHeight="1">
      <c r="G208" s="88"/>
    </row>
    <row r="209" spans="7:7" ht="26.25" customHeight="1">
      <c r="G209" s="88"/>
    </row>
    <row r="210" spans="7:7" ht="12.75" customHeight="1">
      <c r="G210" s="88"/>
    </row>
    <row r="211" spans="7:7" ht="12.75" customHeight="1"/>
    <row r="212" spans="7:7" ht="12.75" customHeight="1"/>
    <row r="213" spans="7:7" ht="12.75" customHeight="1"/>
    <row r="214" spans="7:7" ht="12.75" customHeight="1"/>
    <row r="215" spans="7:7" ht="12.75" customHeight="1"/>
    <row r="216" spans="7:7" ht="12.75" customHeight="1"/>
    <row r="217" spans="7:7" ht="12.75" customHeight="1"/>
    <row r="218" spans="7:7" ht="12.75" customHeight="1"/>
    <row r="219" spans="7:7" ht="12.75" customHeight="1"/>
    <row r="220" spans="7:7" ht="12.75" customHeight="1"/>
    <row r="221" spans="7:7" ht="12.75" customHeight="1"/>
    <row r="222" spans="7:7" ht="12.75" customHeight="1"/>
    <row r="223" spans="7:7" ht="12.75" customHeight="1"/>
    <row r="224" spans="7:7" ht="12.75" customHeight="1"/>
    <row r="225" spans="1:7" ht="12.75" customHeight="1"/>
    <row r="226" spans="1:7" ht="12.75" customHeight="1"/>
    <row r="227" spans="1:7" ht="18" customHeight="1"/>
    <row r="228" spans="1:7" ht="12.75" customHeight="1"/>
    <row r="229" spans="1:7" ht="12.75" customHeight="1"/>
    <row r="230" spans="1:7" ht="12.75" customHeight="1"/>
    <row r="231" spans="1:7" ht="12.75" customHeight="1"/>
    <row r="232" spans="1:7" ht="12.75" customHeight="1"/>
    <row r="233" spans="1:7" s="122" customFormat="1" ht="18" customHeight="1">
      <c r="A233" s="67"/>
      <c r="B233" s="70"/>
      <c r="C233" s="70"/>
      <c r="D233" s="73"/>
      <c r="E233" s="73"/>
      <c r="F233" s="70"/>
      <c r="G233" s="70"/>
    </row>
  </sheetData>
  <mergeCells count="17">
    <mergeCell ref="A26:G26"/>
    <mergeCell ref="A24:G24"/>
    <mergeCell ref="A3:G3"/>
    <mergeCell ref="C10:G11"/>
    <mergeCell ref="B201:E201"/>
    <mergeCell ref="C14:F14"/>
    <mergeCell ref="B19:F19"/>
    <mergeCell ref="B46:E46"/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</mergeCells>
  <phoneticPr fontId="0" type="noConversion"/>
  <conditionalFormatting sqref="C12:G12">
    <cfRule type="aboveAverage" dxfId="9" priority="4" stopIfTrue="1" aboveAverage="0"/>
  </conditionalFormatting>
  <conditionalFormatting sqref="C10">
    <cfRule type="aboveAverage" dxfId="8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2" fitToHeight="0" orientation="portrait" r:id="rId1"/>
  <headerFooter alignWithMargins="0"/>
  <rowBreaks count="2" manualBreakCount="2">
    <brk id="67" max="6" man="1"/>
    <brk id="147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4140625" defaultRowHeight="13.2"/>
  <cols>
    <col min="1" max="1" width="10.5546875" style="182" customWidth="1"/>
    <col min="2" max="2" width="41.44140625" style="182" customWidth="1"/>
    <col min="3" max="3" width="17.6640625" style="182" customWidth="1"/>
    <col min="4" max="4" width="16.5546875" style="182" customWidth="1"/>
    <col min="5" max="5" width="17.5546875" style="182" customWidth="1"/>
    <col min="6" max="6" width="14.6640625" style="182" customWidth="1"/>
    <col min="7" max="7" width="18.5546875" style="182" customWidth="1"/>
    <col min="8" max="8" width="5.5546875" style="182" customWidth="1"/>
    <col min="9" max="16384" width="11.44140625" style="182"/>
  </cols>
  <sheetData>
    <row r="1" spans="1:7" ht="21">
      <c r="A1" s="498" t="s">
        <v>280</v>
      </c>
      <c r="B1" s="498"/>
      <c r="C1" s="498"/>
      <c r="D1" s="498"/>
      <c r="E1" s="498"/>
      <c r="F1" s="498"/>
      <c r="G1" s="498"/>
    </row>
    <row r="2" spans="1:7">
      <c r="A2" s="65"/>
      <c r="B2" s="65"/>
      <c r="C2" s="65"/>
      <c r="D2" s="65"/>
      <c r="E2" s="66"/>
      <c r="F2" s="65"/>
      <c r="G2" s="65"/>
    </row>
    <row r="3" spans="1:7" ht="13.8">
      <c r="A3" s="70"/>
      <c r="B3" s="68"/>
      <c r="C3" s="69"/>
      <c r="D3" s="65"/>
      <c r="E3" s="66"/>
      <c r="F3" s="65"/>
      <c r="G3" s="70"/>
    </row>
    <row r="4" spans="1:7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3.8">
      <c r="A9" s="70"/>
      <c r="B9" s="29" t="s">
        <v>111</v>
      </c>
      <c r="C9" s="499" t="str">
        <f>'R'!C13</f>
        <v>“OPTIMIZACIÓN  DE COBERTURA METALICA Y TRIBUNA DE LA IE No. 550006 BELEN DE OSMA Y PARDO, PROVINCIA DE ANDAHUAYLAS-REGION APURIMAC"</v>
      </c>
      <c r="D9" s="499"/>
      <c r="E9" s="499"/>
      <c r="F9" s="499"/>
      <c r="G9" s="499"/>
    </row>
    <row r="10" spans="1:7" ht="13.8">
      <c r="A10" s="70"/>
      <c r="B10" s="29"/>
      <c r="C10" s="499"/>
      <c r="D10" s="499"/>
      <c r="E10" s="499"/>
      <c r="F10" s="499"/>
      <c r="G10" s="499"/>
    </row>
    <row r="11" spans="1:7" ht="13.8">
      <c r="A11" s="70"/>
      <c r="B11" s="29"/>
      <c r="C11" s="30"/>
      <c r="D11" s="65"/>
      <c r="E11" s="73"/>
      <c r="F11" s="70"/>
      <c r="G11" s="70"/>
    </row>
    <row r="12" spans="1:7" ht="14.4" thickBot="1">
      <c r="A12" s="70"/>
      <c r="B12" s="29"/>
      <c r="C12" s="30"/>
      <c r="D12" s="65"/>
      <c r="E12" s="73"/>
      <c r="F12" s="70"/>
      <c r="G12" s="70"/>
    </row>
    <row r="13" spans="1:7" ht="13.8" thickBot="1">
      <c r="A13" s="183"/>
      <c r="B13" s="224" t="s">
        <v>36</v>
      </c>
      <c r="C13" s="494" t="s">
        <v>37</v>
      </c>
      <c r="D13" s="494"/>
      <c r="E13" s="494"/>
      <c r="F13" s="494"/>
      <c r="G13" s="225" t="s">
        <v>305</v>
      </c>
    </row>
    <row r="14" spans="1:7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8" thickBot="1">
      <c r="A19" s="183"/>
      <c r="B19" s="495" t="s">
        <v>282</v>
      </c>
      <c r="C19" s="496"/>
      <c r="D19" s="496"/>
      <c r="E19" s="496"/>
      <c r="F19" s="496"/>
      <c r="G19" s="203">
        <f>SUM(G14:G18)</f>
        <v>0</v>
      </c>
      <c r="J19" s="17"/>
      <c r="K19" s="184"/>
    </row>
    <row r="20" spans="1:11" ht="15.6">
      <c r="A20" s="70"/>
      <c r="B20" s="75"/>
      <c r="C20" s="75"/>
      <c r="D20" s="75"/>
      <c r="E20" s="75"/>
      <c r="F20" s="88"/>
      <c r="G20" s="65"/>
    </row>
    <row r="21" spans="1:11" ht="15.6">
      <c r="A21" s="70"/>
      <c r="B21" s="75"/>
      <c r="C21" s="75"/>
      <c r="D21" s="75"/>
      <c r="E21" s="75"/>
      <c r="F21" s="88"/>
      <c r="G21" s="65"/>
    </row>
    <row r="22" spans="1:11">
      <c r="A22" s="77"/>
      <c r="B22" s="77"/>
      <c r="C22" s="67"/>
      <c r="D22" s="78"/>
      <c r="E22" s="79"/>
      <c r="F22" s="67"/>
      <c r="G22" s="70"/>
    </row>
    <row r="23" spans="1:11" ht="21">
      <c r="A23" s="490" t="s">
        <v>42</v>
      </c>
      <c r="B23" s="491"/>
      <c r="C23" s="491"/>
      <c r="D23" s="491"/>
      <c r="E23" s="491"/>
      <c r="F23" s="491"/>
      <c r="G23" s="491"/>
    </row>
    <row r="24" spans="1:11" ht="21">
      <c r="A24" s="230"/>
      <c r="B24" s="231"/>
      <c r="C24" s="232"/>
      <c r="D24" s="231"/>
      <c r="E24" s="233"/>
      <c r="F24" s="231"/>
      <c r="G24" s="231"/>
    </row>
    <row r="25" spans="1:11" ht="21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>
      <c r="A26" s="123"/>
      <c r="B26" s="123"/>
      <c r="C26" s="124"/>
      <c r="D26" s="125"/>
      <c r="E26" s="126"/>
      <c r="F26" s="123"/>
      <c r="G26" s="123"/>
    </row>
    <row r="27" spans="1:11">
      <c r="A27" s="64"/>
      <c r="B27" s="85"/>
      <c r="C27" s="85"/>
      <c r="D27" s="85"/>
      <c r="E27" s="86"/>
      <c r="F27" s="85"/>
      <c r="G27" s="85"/>
    </row>
    <row r="28" spans="1:11">
      <c r="A28" s="64"/>
      <c r="B28" s="118"/>
      <c r="C28" s="118"/>
      <c r="D28" s="118"/>
      <c r="E28" s="118"/>
      <c r="F28" s="85"/>
      <c r="G28" s="78"/>
    </row>
    <row r="29" spans="1:11" ht="15.6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5.6">
      <c r="A30" s="127"/>
      <c r="B30" s="154"/>
      <c r="C30" s="146"/>
      <c r="D30" s="146"/>
      <c r="E30" s="145"/>
      <c r="F30" s="129"/>
      <c r="G30" s="130"/>
    </row>
    <row r="31" spans="1:11">
      <c r="A31" s="133"/>
      <c r="B31" s="81"/>
      <c r="C31" s="81"/>
      <c r="D31" s="81"/>
      <c r="E31" s="81"/>
      <c r="F31" s="153"/>
      <c r="G31" s="70"/>
    </row>
    <row r="32" spans="1:11" ht="15.6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5.6">
      <c r="A33" s="127"/>
      <c r="B33" s="154"/>
      <c r="C33" s="146"/>
      <c r="D33" s="146"/>
      <c r="E33" s="145"/>
      <c r="F33" s="129"/>
      <c r="G33" s="130"/>
    </row>
    <row r="34" spans="1:9" ht="15.6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5.6">
      <c r="A35" s="127"/>
      <c r="B35" s="92"/>
      <c r="C35" s="85"/>
      <c r="D35" s="85"/>
      <c r="E35" s="86"/>
      <c r="F35" s="85"/>
      <c r="G35" s="130"/>
    </row>
    <row r="36" spans="1:9" ht="15.6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5.6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5.6">
      <c r="A38" s="127"/>
      <c r="B38" s="487" t="s">
        <v>3</v>
      </c>
      <c r="C38" s="488"/>
      <c r="D38" s="488"/>
      <c r="E38" s="489"/>
      <c r="F38" s="259">
        <f>SUM(F37:F37)</f>
        <v>0</v>
      </c>
      <c r="G38" s="130"/>
    </row>
    <row r="39" spans="1:9">
      <c r="A39" s="133"/>
      <c r="B39" s="81"/>
      <c r="C39" s="81"/>
      <c r="D39" s="81"/>
      <c r="E39" s="81"/>
      <c r="F39" s="153"/>
      <c r="G39" s="70"/>
    </row>
    <row r="40" spans="1:9">
      <c r="A40" s="93"/>
      <c r="B40" s="118"/>
      <c r="C40" s="118"/>
      <c r="D40" s="118"/>
      <c r="E40" s="118"/>
      <c r="F40" s="70"/>
      <c r="G40" s="78"/>
    </row>
    <row r="41" spans="1:9" ht="15.6">
      <c r="A41" s="501" t="s">
        <v>281</v>
      </c>
      <c r="B41" s="501"/>
      <c r="C41" s="501"/>
      <c r="D41" s="501"/>
      <c r="E41" s="501"/>
      <c r="F41" s="87" t="s">
        <v>0</v>
      </c>
      <c r="G41" s="164">
        <f>++G29</f>
        <v>0</v>
      </c>
    </row>
    <row r="43" spans="1:9" ht="21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>
      <c r="A44" s="123"/>
      <c r="B44" s="123"/>
      <c r="C44" s="124"/>
      <c r="D44" s="125"/>
      <c r="E44" s="126"/>
      <c r="F44" s="123"/>
      <c r="G44" s="123"/>
      <c r="I44" s="184"/>
    </row>
    <row r="45" spans="1:9" ht="15.6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5.6">
      <c r="A46" s="226"/>
      <c r="B46" s="223"/>
      <c r="C46" s="212"/>
      <c r="D46" s="212"/>
      <c r="E46" s="213"/>
      <c r="F46" s="213"/>
      <c r="G46" s="214"/>
    </row>
    <row r="47" spans="1:9" ht="15.6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>
      <c r="A48" s="89"/>
      <c r="B48" s="90"/>
      <c r="C48" s="85"/>
      <c r="D48" s="85"/>
      <c r="E48" s="86"/>
      <c r="F48" s="85"/>
      <c r="G48" s="85"/>
    </row>
    <row r="49" spans="1:7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>
      <c r="A50" s="93"/>
      <c r="B50" s="78"/>
      <c r="C50" s="85"/>
      <c r="D50" s="85"/>
      <c r="E50" s="86"/>
      <c r="F50" s="85"/>
      <c r="G50" s="85"/>
    </row>
    <row r="51" spans="1:7">
      <c r="A51" s="64"/>
      <c r="B51" s="92" t="s">
        <v>44</v>
      </c>
      <c r="C51" s="78"/>
      <c r="D51" s="78"/>
      <c r="E51" s="94"/>
      <c r="F51" s="78"/>
      <c r="G51" s="85"/>
    </row>
    <row r="52" spans="1:7">
      <c r="A52" s="64"/>
      <c r="B52" s="92"/>
      <c r="C52" s="78"/>
      <c r="D52" s="78"/>
      <c r="E52" s="94"/>
      <c r="F52" s="78"/>
      <c r="G52" s="85"/>
    </row>
    <row r="53" spans="1:7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>
      <c r="A56" s="67"/>
      <c r="B56" s="497" t="s">
        <v>3</v>
      </c>
      <c r="C56" s="497"/>
      <c r="D56" s="497"/>
      <c r="E56" s="497"/>
      <c r="F56" s="259">
        <f>SUM(F54:F55)</f>
        <v>0</v>
      </c>
      <c r="G56" s="78"/>
    </row>
    <row r="57" spans="1:7">
      <c r="A57" s="64"/>
      <c r="B57" s="85"/>
      <c r="C57" s="85"/>
      <c r="D57" s="85"/>
      <c r="E57" s="86"/>
      <c r="F57" s="85"/>
      <c r="G57" s="85"/>
    </row>
    <row r="58" spans="1:7">
      <c r="A58" s="64"/>
      <c r="B58" s="85"/>
      <c r="C58" s="85"/>
      <c r="D58" s="85"/>
      <c r="E58" s="86"/>
      <c r="F58" s="85"/>
      <c r="G58" s="85"/>
    </row>
    <row r="59" spans="1:7" ht="15.6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>
      <c r="A60" s="89"/>
      <c r="B60" s="90"/>
      <c r="C60" s="85"/>
      <c r="D60" s="85"/>
      <c r="E60" s="86"/>
      <c r="F60" s="85"/>
      <c r="G60" s="85"/>
    </row>
    <row r="61" spans="1:7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>
      <c r="A62" s="91"/>
      <c r="B62" s="92"/>
      <c r="C62" s="85"/>
      <c r="D62" s="85"/>
      <c r="E62" s="86"/>
      <c r="F62" s="85"/>
      <c r="G62" s="85"/>
    </row>
    <row r="63" spans="1:7">
      <c r="A63" s="93"/>
      <c r="B63" s="92" t="s">
        <v>44</v>
      </c>
      <c r="C63" s="78"/>
      <c r="D63" s="78"/>
      <c r="E63" s="94"/>
      <c r="F63" s="85"/>
      <c r="G63" s="85"/>
    </row>
    <row r="64" spans="1:7">
      <c r="A64" s="93"/>
      <c r="B64" s="92"/>
      <c r="C64" s="78"/>
      <c r="D64" s="78"/>
      <c r="E64" s="94"/>
      <c r="F64" s="85"/>
      <c r="G64" s="85"/>
    </row>
    <row r="65" spans="1:7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>
      <c r="A68" s="64"/>
      <c r="B68" s="502" t="s">
        <v>3</v>
      </c>
      <c r="C68" s="502"/>
      <c r="D68" s="502"/>
      <c r="E68" s="502"/>
      <c r="F68" s="259">
        <f>SUM(F66:F67)</f>
        <v>0</v>
      </c>
      <c r="G68" s="85"/>
    </row>
    <row r="69" spans="1:7">
      <c r="A69" s="64"/>
      <c r="B69" s="101"/>
      <c r="C69" s="101"/>
      <c r="D69" s="101"/>
      <c r="E69" s="86"/>
      <c r="F69" s="85"/>
      <c r="G69" s="85"/>
    </row>
    <row r="70" spans="1:7">
      <c r="A70" s="64"/>
      <c r="B70" s="101"/>
      <c r="C70" s="85"/>
      <c r="D70" s="101"/>
      <c r="E70" s="86"/>
      <c r="F70" s="85"/>
      <c r="G70" s="85"/>
    </row>
    <row r="71" spans="1:7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>
      <c r="A72" s="91"/>
      <c r="B72" s="92"/>
      <c r="C72" s="85"/>
      <c r="D72" s="85"/>
      <c r="E72" s="86"/>
      <c r="F72" s="85"/>
      <c r="G72" s="85"/>
    </row>
    <row r="73" spans="1:7">
      <c r="A73" s="64"/>
      <c r="B73" s="92" t="s">
        <v>44</v>
      </c>
      <c r="C73" s="78"/>
      <c r="D73" s="78"/>
      <c r="E73" s="94"/>
      <c r="F73" s="85"/>
      <c r="G73" s="85"/>
    </row>
    <row r="74" spans="1:7">
      <c r="A74" s="64"/>
      <c r="B74" s="92"/>
      <c r="C74" s="78"/>
      <c r="D74" s="78"/>
      <c r="E74" s="94"/>
      <c r="F74" s="85"/>
      <c r="G74" s="85"/>
    </row>
    <row r="75" spans="1:7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>
      <c r="A78" s="64"/>
      <c r="B78" s="483" t="s">
        <v>3</v>
      </c>
      <c r="C78" s="483"/>
      <c r="D78" s="483"/>
      <c r="E78" s="483"/>
      <c r="F78" s="259">
        <f>SUM(F76:F77)</f>
        <v>0</v>
      </c>
      <c r="G78" s="85"/>
    </row>
    <row r="79" spans="1:7">
      <c r="A79" s="64"/>
      <c r="B79" s="101"/>
      <c r="C79" s="85"/>
      <c r="D79" s="101"/>
      <c r="E79" s="86"/>
      <c r="F79" s="85"/>
      <c r="G79" s="85"/>
    </row>
    <row r="80" spans="1:7" ht="15.6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>
      <c r="A81" s="91"/>
      <c r="B81" s="92"/>
      <c r="C81" s="85"/>
      <c r="D81" s="85"/>
      <c r="E81" s="86"/>
      <c r="F81" s="85"/>
      <c r="G81" s="85"/>
    </row>
    <row r="82" spans="1:7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>
      <c r="A83" s="93"/>
      <c r="B83" s="103"/>
      <c r="C83" s="85"/>
      <c r="D83" s="85"/>
      <c r="E83" s="86"/>
      <c r="F83" s="85"/>
      <c r="G83" s="85"/>
    </row>
    <row r="84" spans="1:7">
      <c r="A84" s="64"/>
      <c r="B84" s="92" t="s">
        <v>44</v>
      </c>
      <c r="C84" s="78"/>
      <c r="D84" s="78"/>
      <c r="E84" s="94"/>
      <c r="F84" s="78"/>
      <c r="G84" s="85"/>
    </row>
    <row r="85" spans="1:7">
      <c r="A85" s="64"/>
      <c r="B85" s="92"/>
      <c r="C85" s="78"/>
      <c r="D85" s="78"/>
      <c r="E85" s="94"/>
      <c r="F85" s="78"/>
      <c r="G85" s="85"/>
    </row>
    <row r="86" spans="1:7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>
      <c r="A89" s="64"/>
      <c r="B89" s="500" t="s">
        <v>3</v>
      </c>
      <c r="C89" s="500"/>
      <c r="D89" s="500"/>
      <c r="E89" s="500"/>
      <c r="F89" s="259">
        <f>SUM(F87:F88)</f>
        <v>0</v>
      </c>
      <c r="G89" s="85"/>
    </row>
    <row r="90" spans="1:7">
      <c r="A90" s="91"/>
      <c r="B90" s="92"/>
      <c r="C90" s="85"/>
      <c r="D90" s="85"/>
      <c r="E90" s="86"/>
      <c r="F90" s="85"/>
      <c r="G90" s="85"/>
    </row>
    <row r="91" spans="1:7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>
      <c r="A92" s="93"/>
      <c r="B92" s="103"/>
      <c r="C92" s="85"/>
      <c r="D92" s="85"/>
      <c r="E92" s="86"/>
      <c r="F92" s="85"/>
      <c r="G92" s="85"/>
    </row>
    <row r="93" spans="1:7">
      <c r="A93" s="64"/>
      <c r="B93" s="92" t="s">
        <v>44</v>
      </c>
      <c r="C93" s="78"/>
      <c r="D93" s="78"/>
      <c r="E93" s="94"/>
      <c r="F93" s="78"/>
      <c r="G93" s="85"/>
    </row>
    <row r="94" spans="1:7">
      <c r="A94" s="64"/>
      <c r="B94" s="92"/>
      <c r="C94" s="78"/>
      <c r="D94" s="78"/>
      <c r="E94" s="94"/>
      <c r="F94" s="78"/>
      <c r="G94" s="85"/>
    </row>
    <row r="95" spans="1:7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>
      <c r="A98" s="64"/>
      <c r="B98" s="500" t="s">
        <v>3</v>
      </c>
      <c r="C98" s="500"/>
      <c r="D98" s="500"/>
      <c r="E98" s="500"/>
      <c r="F98" s="259">
        <f>SUM(F96:F97)</f>
        <v>0</v>
      </c>
      <c r="G98" s="85"/>
    </row>
    <row r="99" spans="1:7">
      <c r="A99" s="91"/>
      <c r="B99" s="92"/>
      <c r="C99" s="85"/>
      <c r="D99" s="85"/>
      <c r="E99" s="86"/>
      <c r="F99" s="85"/>
      <c r="G99" s="85"/>
    </row>
    <row r="100" spans="1:7" ht="15.6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>
      <c r="A101" s="91"/>
      <c r="B101" s="92"/>
      <c r="C101" s="85"/>
      <c r="D101" s="85"/>
      <c r="E101" s="86"/>
      <c r="F101" s="85"/>
      <c r="G101" s="85"/>
    </row>
    <row r="102" spans="1:7" ht="15.6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>
      <c r="A103" s="102"/>
      <c r="B103" s="92"/>
      <c r="C103" s="78"/>
      <c r="D103" s="78"/>
      <c r="E103" s="94"/>
      <c r="F103" s="78"/>
      <c r="G103" s="85"/>
    </row>
    <row r="104" spans="1:7">
      <c r="A104" s="102"/>
      <c r="B104" s="92" t="s">
        <v>44</v>
      </c>
      <c r="C104" s="78"/>
      <c r="D104" s="78"/>
      <c r="E104" s="94"/>
      <c r="F104" s="78"/>
      <c r="G104" s="85"/>
    </row>
    <row r="105" spans="1:7">
      <c r="A105" s="64"/>
      <c r="B105" s="92"/>
      <c r="C105" s="78"/>
      <c r="D105" s="78"/>
      <c r="E105" s="94"/>
      <c r="F105" s="78"/>
      <c r="G105" s="85"/>
    </row>
    <row r="106" spans="1:7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>
      <c r="A109" s="67"/>
      <c r="B109" s="497" t="s">
        <v>3</v>
      </c>
      <c r="C109" s="497"/>
      <c r="D109" s="497"/>
      <c r="E109" s="497"/>
      <c r="F109" s="259">
        <f>SUM(F107:F108)</f>
        <v>0</v>
      </c>
      <c r="G109" s="85"/>
    </row>
    <row r="110" spans="1:7">
      <c r="A110" s="64"/>
      <c r="B110" s="85"/>
      <c r="C110" s="85"/>
      <c r="D110" s="85"/>
      <c r="E110" s="86"/>
      <c r="F110" s="85"/>
      <c r="G110" s="85"/>
    </row>
    <row r="111" spans="1:7" ht="15.6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>
      <c r="A112" s="91"/>
      <c r="B112" s="92"/>
      <c r="C112" s="85"/>
      <c r="D112" s="85"/>
      <c r="E112" s="86"/>
      <c r="F112" s="85"/>
      <c r="G112" s="85"/>
    </row>
    <row r="113" spans="1:7" ht="15.6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>
      <c r="A114" s="91"/>
      <c r="B114" s="92"/>
      <c r="C114" s="85"/>
      <c r="D114" s="85"/>
      <c r="E114" s="86"/>
      <c r="F114" s="85"/>
      <c r="G114" s="85"/>
    </row>
    <row r="115" spans="1:7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>
      <c r="A118" s="64"/>
      <c r="B118" s="483" t="s">
        <v>3</v>
      </c>
      <c r="C118" s="483"/>
      <c r="D118" s="483"/>
      <c r="E118" s="483"/>
      <c r="F118" s="135">
        <f>SUM(F116:F117)</f>
        <v>0</v>
      </c>
      <c r="G118" s="103"/>
    </row>
    <row r="119" spans="1:7">
      <c r="A119" s="64"/>
      <c r="B119" s="118"/>
      <c r="C119" s="118"/>
      <c r="D119" s="118"/>
      <c r="E119" s="118"/>
      <c r="F119" s="118"/>
      <c r="G119" s="103"/>
    </row>
    <row r="120" spans="1:7">
      <c r="A120" s="64"/>
      <c r="B120" s="85"/>
      <c r="C120" s="85"/>
      <c r="D120" s="85"/>
      <c r="E120" s="86"/>
      <c r="F120" s="85"/>
      <c r="G120" s="85"/>
    </row>
    <row r="121" spans="1:7" ht="15.6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>
      <c r="A122" s="131"/>
      <c r="B122" s="132"/>
      <c r="C122" s="139"/>
      <c r="D122" s="140"/>
      <c r="E122" s="139"/>
      <c r="F122" s="140"/>
      <c r="G122" s="70"/>
    </row>
    <row r="123" spans="1:7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>
      <c r="A127" s="133"/>
      <c r="B127" s="483" t="s">
        <v>3</v>
      </c>
      <c r="C127" s="483"/>
      <c r="D127" s="483"/>
      <c r="E127" s="483"/>
      <c r="F127" s="135">
        <f>SUM(F124:F126)</f>
        <v>0</v>
      </c>
      <c r="G127" s="70"/>
    </row>
    <row r="128" spans="1:7">
      <c r="A128" s="133"/>
      <c r="B128" s="142"/>
      <c r="C128" s="126"/>
      <c r="D128" s="143"/>
      <c r="E128" s="126"/>
      <c r="F128" s="143"/>
      <c r="G128" s="70"/>
    </row>
    <row r="129" spans="1:7" ht="15.6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>
      <c r="A130" s="91"/>
      <c r="B130" s="92"/>
      <c r="C130" s="85"/>
      <c r="D130" s="85"/>
      <c r="E130" s="86"/>
      <c r="F130" s="85"/>
      <c r="G130" s="78"/>
    </row>
    <row r="131" spans="1:7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>
      <c r="A154" s="93"/>
      <c r="B154" s="483" t="s">
        <v>3</v>
      </c>
      <c r="C154" s="483"/>
      <c r="D154" s="483"/>
      <c r="E154" s="483"/>
      <c r="F154" s="98">
        <f>SUM(F132:F153)</f>
        <v>0</v>
      </c>
      <c r="G154" s="78"/>
    </row>
    <row r="155" spans="1:10">
      <c r="A155" s="93"/>
      <c r="B155" s="118"/>
      <c r="C155" s="118"/>
      <c r="D155" s="118"/>
      <c r="E155" s="118"/>
      <c r="F155" s="85"/>
      <c r="G155" s="78"/>
    </row>
    <row r="156" spans="1:10" ht="15.6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>
      <c r="A157" s="91"/>
      <c r="B157" s="92"/>
      <c r="C157" s="85"/>
      <c r="D157" s="85"/>
      <c r="E157" s="86"/>
      <c r="F157" s="85"/>
      <c r="G157" s="78"/>
    </row>
    <row r="158" spans="1:10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>
      <c r="A162" s="91"/>
      <c r="B162" s="487" t="s">
        <v>3</v>
      </c>
      <c r="C162" s="488"/>
      <c r="D162" s="488"/>
      <c r="E162" s="489"/>
      <c r="F162" s="98">
        <f>SUM(F159:F161)</f>
        <v>0</v>
      </c>
      <c r="G162" s="78"/>
    </row>
    <row r="163" spans="1:7" ht="15.6">
      <c r="A163" s="127"/>
      <c r="B163" s="91"/>
      <c r="C163" s="92"/>
      <c r="D163" s="144"/>
      <c r="E163" s="145"/>
      <c r="F163" s="129"/>
      <c r="G163" s="130"/>
    </row>
    <row r="164" spans="1:7">
      <c r="A164" s="64"/>
      <c r="B164" s="118"/>
      <c r="C164" s="118"/>
      <c r="D164" s="118"/>
      <c r="E164" s="118"/>
      <c r="F164" s="85"/>
      <c r="G164" s="78"/>
    </row>
    <row r="165" spans="1:7" ht="15.6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5.6">
      <c r="A166" s="127"/>
      <c r="B166" s="154"/>
      <c r="C166" s="146"/>
      <c r="D166" s="146"/>
      <c r="E166" s="145"/>
      <c r="F166" s="129"/>
      <c r="G166" s="130"/>
    </row>
    <row r="167" spans="1:7" ht="15.6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5.6">
      <c r="A168" s="127"/>
      <c r="B168" s="154"/>
      <c r="C168" s="146"/>
      <c r="D168" s="146"/>
      <c r="E168" s="145"/>
      <c r="F168" s="129"/>
      <c r="G168" s="130"/>
    </row>
    <row r="169" spans="1:7" ht="15.6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5.6">
      <c r="A170" s="127"/>
      <c r="B170" s="92"/>
      <c r="C170" s="85"/>
      <c r="D170" s="85"/>
      <c r="E170" s="86"/>
      <c r="F170" s="85"/>
      <c r="G170" s="130"/>
    </row>
    <row r="171" spans="1:7" ht="15.6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5.6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5.6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5.6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5.6">
      <c r="A175" s="127"/>
      <c r="B175" s="487" t="s">
        <v>3</v>
      </c>
      <c r="C175" s="488"/>
      <c r="D175" s="488"/>
      <c r="E175" s="489"/>
      <c r="F175" s="259">
        <f>SUM(F172:F174)</f>
        <v>0</v>
      </c>
      <c r="G175" s="130"/>
    </row>
    <row r="176" spans="1:7">
      <c r="A176" s="133"/>
      <c r="B176" s="81"/>
      <c r="C176" s="81"/>
      <c r="D176" s="81"/>
      <c r="E176" s="81"/>
      <c r="F176" s="153"/>
      <c r="G176" s="70"/>
    </row>
    <row r="177" spans="1:7">
      <c r="A177" s="93"/>
      <c r="B177" s="118"/>
      <c r="C177" s="118"/>
      <c r="D177" s="118"/>
      <c r="E177" s="118"/>
      <c r="F177" s="85"/>
      <c r="G177" s="78"/>
    </row>
    <row r="178" spans="1:7" ht="15.6">
      <c r="A178" s="501" t="s">
        <v>284</v>
      </c>
      <c r="B178" s="501"/>
      <c r="C178" s="501"/>
      <c r="D178" s="501"/>
      <c r="E178" s="501"/>
      <c r="F178" s="87" t="s">
        <v>0</v>
      </c>
      <c r="G178" s="164">
        <f>+G165+G111+G45</f>
        <v>0</v>
      </c>
    </row>
    <row r="180" spans="1:7" ht="17.399999999999999">
      <c r="B180" s="266" t="s">
        <v>282</v>
      </c>
      <c r="F180" s="87" t="s">
        <v>0</v>
      </c>
      <c r="G180" s="164">
        <f>+G19</f>
        <v>0</v>
      </c>
    </row>
  </sheetData>
  <mergeCells count="19"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  <mergeCell ref="A1:G1"/>
    <mergeCell ref="C9:G10"/>
    <mergeCell ref="C13:F13"/>
    <mergeCell ref="B19:F19"/>
    <mergeCell ref="A23:G23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3"/>
  </sheetPr>
  <dimension ref="A1:J168"/>
  <sheetViews>
    <sheetView view="pageBreakPreview" topLeftCell="A131" zoomScale="85" zoomScaleNormal="70" zoomScaleSheetLayoutView="85" workbookViewId="0">
      <selection activeCell="F26" sqref="F26"/>
    </sheetView>
  </sheetViews>
  <sheetFormatPr baseColWidth="10" defaultColWidth="11.44140625" defaultRowHeight="13.2"/>
  <cols>
    <col min="1" max="1" width="8.6640625" style="70" customWidth="1"/>
    <col min="2" max="2" width="46.6640625" style="70" customWidth="1"/>
    <col min="3" max="3" width="18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4.5546875" style="70" customWidth="1"/>
    <col min="8" max="8" width="11.44140625" style="63"/>
    <col min="9" max="9" width="14.109375" style="63" customWidth="1"/>
    <col min="10" max="16384" width="11.44140625" style="63"/>
  </cols>
  <sheetData>
    <row r="1" spans="1:7" ht="21" customHeight="1"/>
    <row r="2" spans="1:7" ht="21" customHeight="1"/>
    <row r="3" spans="1:7" ht="27" customHeight="1">
      <c r="A3" s="505" t="s">
        <v>586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93" t="s">
        <v>654</v>
      </c>
      <c r="D10" s="464"/>
      <c r="E10" s="464"/>
      <c r="F10" s="464"/>
      <c r="G10" s="464"/>
    </row>
    <row r="11" spans="1:7" ht="18" customHeight="1">
      <c r="B11" s="29"/>
      <c r="C11" s="464"/>
      <c r="D11" s="464"/>
      <c r="E11" s="464"/>
      <c r="F11" s="464"/>
      <c r="G11" s="464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94" t="s">
        <v>37</v>
      </c>
      <c r="D13" s="494"/>
      <c r="E13" s="494"/>
      <c r="F13" s="494"/>
      <c r="G13" s="225" t="s">
        <v>209</v>
      </c>
    </row>
    <row r="14" spans="1:7" s="182" customFormat="1" ht="20.25" customHeight="1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>
      <c r="A18" s="183"/>
      <c r="B18" s="495" t="s">
        <v>76</v>
      </c>
      <c r="C18" s="496"/>
      <c r="D18" s="496"/>
      <c r="E18" s="496"/>
      <c r="F18" s="496"/>
      <c r="G18" s="203">
        <f>SUM(G14:G17)</f>
        <v>24961.5</v>
      </c>
      <c r="H18" s="184"/>
      <c r="I18" s="328"/>
      <c r="J18" s="184"/>
    </row>
    <row r="19" spans="1:10" ht="18" customHeight="1">
      <c r="B19" s="75"/>
      <c r="C19" s="75"/>
      <c r="D19" s="75"/>
      <c r="E19" s="75"/>
      <c r="F19" s="88"/>
      <c r="G19" s="65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27" customHeight="1">
      <c r="A23" s="503" t="s">
        <v>42</v>
      </c>
      <c r="B23" s="504"/>
      <c r="C23" s="504"/>
      <c r="D23" s="504"/>
      <c r="E23" s="504"/>
      <c r="F23" s="504"/>
      <c r="G23" s="504"/>
    </row>
    <row r="24" spans="1:10" ht="12" customHeight="1">
      <c r="A24" s="245"/>
      <c r="B24" s="246"/>
      <c r="C24" s="247"/>
      <c r="D24" s="246"/>
      <c r="E24" s="248"/>
      <c r="F24" s="246"/>
      <c r="G24" s="246"/>
    </row>
    <row r="25" spans="1:10" ht="27" customHeight="1">
      <c r="A25" s="503" t="s">
        <v>69</v>
      </c>
      <c r="B25" s="503"/>
      <c r="C25" s="503"/>
      <c r="D25" s="503"/>
      <c r="E25" s="503"/>
      <c r="F25" s="503"/>
      <c r="G25" s="503"/>
    </row>
    <row r="26" spans="1:10" ht="20.25" customHeight="1">
      <c r="A26" s="332"/>
      <c r="B26" s="332"/>
      <c r="C26" s="332"/>
      <c r="D26" s="332"/>
      <c r="E26" s="332"/>
      <c r="F26" s="332"/>
      <c r="G26" s="332"/>
    </row>
    <row r="27" spans="1:10" ht="12.75" customHeight="1">
      <c r="A27" s="249"/>
      <c r="B27" s="249"/>
      <c r="C27" s="250"/>
      <c r="D27" s="251"/>
      <c r="E27" s="252"/>
      <c r="F27" s="249"/>
      <c r="G27" s="249"/>
    </row>
    <row r="28" spans="1:10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5.6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>
      <c r="A31" s="89"/>
      <c r="B31" s="90"/>
      <c r="C31" s="85"/>
      <c r="D31" s="85"/>
      <c r="E31" s="86"/>
      <c r="F31" s="85"/>
      <c r="G31" s="85"/>
    </row>
    <row r="32" spans="1:10" ht="12.75" customHeight="1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>
      <c r="A33" s="93"/>
      <c r="B33" s="78"/>
      <c r="C33" s="85"/>
      <c r="D33" s="85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>
      <c r="A35" s="64"/>
      <c r="B35" s="92"/>
      <c r="C35" s="78"/>
      <c r="D35" s="78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510" t="s">
        <v>365</v>
      </c>
    </row>
    <row r="38" spans="1:9" ht="12.75" customHeight="1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511"/>
    </row>
    <row r="39" spans="1:9" ht="12.75" customHeight="1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512"/>
    </row>
    <row r="40" spans="1:9" ht="12.75" customHeight="1">
      <c r="A40" s="67"/>
      <c r="B40" s="497" t="s">
        <v>3</v>
      </c>
      <c r="C40" s="497"/>
      <c r="D40" s="497"/>
      <c r="E40" s="497"/>
      <c r="F40" s="259">
        <f>SUM(F37:F39)</f>
        <v>12000</v>
      </c>
      <c r="G40" s="78"/>
    </row>
    <row r="41" spans="1:9" ht="12.75" customHeight="1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>
      <c r="A42" s="64"/>
      <c r="B42" s="85"/>
      <c r="C42" s="85"/>
      <c r="D42" s="85"/>
      <c r="E42" s="86"/>
      <c r="F42" s="85"/>
      <c r="G42" s="85"/>
    </row>
    <row r="43" spans="1:9" ht="18" customHeight="1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>
      <c r="A44" s="89"/>
      <c r="B44" s="90"/>
      <c r="C44" s="85"/>
      <c r="D44" s="85"/>
      <c r="E44" s="86"/>
      <c r="F44" s="85"/>
      <c r="G44" s="85"/>
      <c r="H44" s="189"/>
    </row>
    <row r="45" spans="1:9" ht="12.75" customHeight="1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>
      <c r="A46" s="91"/>
      <c r="B46" s="92"/>
      <c r="C46" s="85"/>
      <c r="D46" s="85"/>
      <c r="E46" s="86"/>
      <c r="F46" s="85"/>
      <c r="G46" s="85"/>
    </row>
    <row r="47" spans="1:9" ht="12.75" customHeight="1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>
      <c r="A48" s="93"/>
      <c r="B48" s="92"/>
      <c r="C48" s="78"/>
      <c r="D48" s="78"/>
      <c r="E48" s="94"/>
      <c r="F48" s="85"/>
      <c r="G48" s="85"/>
    </row>
    <row r="49" spans="1:7" ht="12.75" customHeight="1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>
      <c r="A53" s="64"/>
      <c r="B53" s="502" t="s">
        <v>3</v>
      </c>
      <c r="C53" s="502"/>
      <c r="D53" s="502"/>
      <c r="E53" s="502"/>
      <c r="F53" s="259">
        <f>SUM(F50:F52)</f>
        <v>1170</v>
      </c>
      <c r="G53" s="85"/>
    </row>
    <row r="54" spans="1:7" ht="13.5" customHeight="1">
      <c r="A54" s="64"/>
      <c r="B54" s="101"/>
      <c r="C54" s="101"/>
      <c r="D54" s="101"/>
      <c r="E54" s="86"/>
      <c r="F54" s="85"/>
      <c r="G54" s="85"/>
    </row>
    <row r="55" spans="1:7" ht="12.75" customHeight="1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>
      <c r="A56" s="91"/>
      <c r="B56" s="92"/>
      <c r="C56" s="85"/>
      <c r="D56" s="85"/>
      <c r="E56" s="86"/>
      <c r="F56" s="85"/>
      <c r="G56" s="85"/>
    </row>
    <row r="57" spans="1:7" ht="12.75" customHeight="1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>
      <c r="A58" s="64"/>
      <c r="B58" s="92"/>
      <c r="C58" s="78"/>
      <c r="D58" s="78"/>
      <c r="E58" s="94"/>
      <c r="F58" s="85"/>
      <c r="G58" s="85"/>
    </row>
    <row r="59" spans="1:7" ht="12.75" customHeight="1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>
      <c r="A63" s="64"/>
      <c r="B63" s="483" t="s">
        <v>3</v>
      </c>
      <c r="C63" s="483"/>
      <c r="D63" s="483"/>
      <c r="E63" s="483"/>
      <c r="F63" s="259">
        <f>SUM(F60:F62)</f>
        <v>201.5</v>
      </c>
      <c r="G63" s="85"/>
    </row>
    <row r="64" spans="1:7" ht="12.75" customHeight="1">
      <c r="A64" s="64"/>
      <c r="B64" s="101"/>
      <c r="C64" s="85"/>
      <c r="D64" s="101"/>
      <c r="E64" s="86"/>
      <c r="F64" s="85"/>
      <c r="G64" s="85"/>
    </row>
    <row r="65" spans="1:8" ht="18" customHeight="1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>
      <c r="A66" s="91"/>
      <c r="B66" s="92"/>
      <c r="C66" s="85"/>
      <c r="D66" s="85"/>
      <c r="E66" s="86"/>
      <c r="F66" s="85"/>
      <c r="G66" s="85"/>
      <c r="H66" s="189"/>
    </row>
    <row r="67" spans="1:8" ht="12.75" customHeight="1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>
      <c r="A68" s="93"/>
      <c r="B68" s="103"/>
      <c r="C68" s="85"/>
      <c r="D68" s="85"/>
      <c r="E68" s="86"/>
      <c r="F68" s="85"/>
      <c r="G68" s="85"/>
    </row>
    <row r="69" spans="1:8" ht="12.75" customHeight="1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>
      <c r="A70" s="64"/>
      <c r="B70" s="92"/>
      <c r="C70" s="78"/>
      <c r="D70" s="78"/>
      <c r="E70" s="94"/>
      <c r="F70" s="78"/>
      <c r="G70" s="85"/>
    </row>
    <row r="71" spans="1:8" ht="12.75" customHeight="1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>
      <c r="A75" s="64"/>
      <c r="B75" s="506" t="s">
        <v>3</v>
      </c>
      <c r="C75" s="506"/>
      <c r="D75" s="506"/>
      <c r="E75" s="506"/>
      <c r="F75" s="259">
        <f>SUM(F72:F74)</f>
        <v>1000</v>
      </c>
      <c r="G75" s="85"/>
    </row>
    <row r="76" spans="1:8" ht="12.75" customHeight="1">
      <c r="A76" s="91"/>
      <c r="B76" s="92"/>
      <c r="C76" s="85"/>
      <c r="D76" s="85"/>
      <c r="E76" s="86"/>
      <c r="F76" s="85"/>
      <c r="G76" s="85"/>
    </row>
    <row r="77" spans="1:8" ht="12.75" customHeight="1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>
      <c r="A78" s="93"/>
      <c r="B78" s="103"/>
      <c r="C78" s="85"/>
      <c r="D78" s="85"/>
      <c r="E78" s="86"/>
      <c r="F78" s="85"/>
      <c r="G78" s="85"/>
    </row>
    <row r="79" spans="1:8" ht="12.75" customHeight="1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>
      <c r="A80" s="64"/>
      <c r="B80" s="92"/>
      <c r="C80" s="78"/>
      <c r="D80" s="78"/>
      <c r="E80" s="94"/>
      <c r="F80" s="78"/>
      <c r="G80" s="85"/>
    </row>
    <row r="81" spans="1:7" ht="12.75" customHeight="1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>
      <c r="A85" s="64"/>
      <c r="B85" s="506" t="s">
        <v>3</v>
      </c>
      <c r="C85" s="506"/>
      <c r="D85" s="506"/>
      <c r="E85" s="506"/>
      <c r="F85" s="259">
        <f>SUM(F82:F84)</f>
        <v>1000</v>
      </c>
      <c r="G85" s="85"/>
    </row>
    <row r="86" spans="1:7" ht="12.75" customHeight="1">
      <c r="A86" s="91"/>
      <c r="B86" s="92"/>
      <c r="C86" s="85"/>
      <c r="D86" s="85"/>
      <c r="E86" s="86"/>
      <c r="F86" s="85"/>
      <c r="G86" s="85"/>
    </row>
    <row r="87" spans="1:7" ht="18" customHeight="1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>
      <c r="A88" s="91"/>
      <c r="B88" s="92"/>
      <c r="C88" s="85"/>
      <c r="D88" s="85"/>
      <c r="E88" s="86"/>
      <c r="F88" s="85"/>
      <c r="G88" s="85"/>
    </row>
    <row r="89" spans="1:7" ht="14.25" customHeight="1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>
      <c r="A90" s="102"/>
      <c r="B90" s="92"/>
      <c r="C90" s="78"/>
      <c r="D90" s="78"/>
      <c r="E90" s="94"/>
      <c r="F90" s="78"/>
      <c r="G90" s="85"/>
    </row>
    <row r="91" spans="1:7" ht="12.75" customHeight="1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>
      <c r="A92" s="64"/>
      <c r="B92" s="92"/>
      <c r="C92" s="78"/>
      <c r="D92" s="78"/>
      <c r="E92" s="94"/>
      <c r="F92" s="78"/>
      <c r="G92" s="85"/>
    </row>
    <row r="93" spans="1:7" ht="14.25" customHeight="1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>
      <c r="A97" s="67"/>
      <c r="B97" s="507" t="s">
        <v>3</v>
      </c>
      <c r="C97" s="508"/>
      <c r="D97" s="508"/>
      <c r="E97" s="509"/>
      <c r="F97" s="259">
        <f>SUM(F94:F96)</f>
        <v>2000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ht="12.75" customHeight="1">
      <c r="A99" s="64"/>
      <c r="B99" s="105"/>
      <c r="C99" s="85"/>
      <c r="D99" s="101"/>
      <c r="E99" s="86"/>
      <c r="F99" s="85"/>
      <c r="G99" s="85"/>
    </row>
    <row r="100" spans="1:8" s="182" customFormat="1" ht="15.6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>
      <c r="A106" s="64"/>
      <c r="B106" s="483" t="s">
        <v>3</v>
      </c>
      <c r="C106" s="483"/>
      <c r="D106" s="483"/>
      <c r="E106" s="483"/>
      <c r="F106" s="135">
        <f>SUM(F104:F105)</f>
        <v>285</v>
      </c>
      <c r="G106" s="103"/>
    </row>
    <row r="107" spans="1:8" ht="12.75" customHeight="1">
      <c r="A107" s="64"/>
      <c r="B107" s="118"/>
      <c r="C107" s="118"/>
      <c r="D107" s="118"/>
      <c r="E107" s="118"/>
      <c r="F107" s="118"/>
      <c r="G107" s="103"/>
    </row>
    <row r="108" spans="1:8" ht="18" customHeight="1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hidden="1" customHeight="1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>
      <c r="A111" s="91"/>
      <c r="B111" s="92"/>
      <c r="C111" s="85"/>
      <c r="D111" s="85"/>
      <c r="E111" s="86"/>
      <c r="F111" s="85"/>
      <c r="G111" s="78"/>
    </row>
    <row r="112" spans="1:8" ht="12.75" hidden="1" customHeight="1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>
      <c r="A114" s="91"/>
      <c r="B114" s="483" t="s">
        <v>3</v>
      </c>
      <c r="C114" s="483"/>
      <c r="D114" s="483"/>
      <c r="E114" s="483"/>
      <c r="F114" s="98">
        <f>SUM(F113:F113)</f>
        <v>0</v>
      </c>
      <c r="G114" s="78"/>
    </row>
    <row r="115" spans="1:7" ht="12.75" hidden="1" customHeight="1">
      <c r="A115" s="91"/>
      <c r="B115" s="92"/>
      <c r="C115" s="85"/>
      <c r="D115" s="85"/>
      <c r="E115" s="86"/>
      <c r="F115" s="85"/>
      <c r="G115" s="78"/>
    </row>
    <row r="116" spans="1:7" ht="12.75" customHeight="1">
      <c r="A116" s="91"/>
      <c r="B116" s="92"/>
      <c r="C116" s="85"/>
      <c r="D116" s="85"/>
      <c r="E116" s="86"/>
      <c r="F116" s="85"/>
      <c r="G116" s="78"/>
    </row>
    <row r="117" spans="1:7" ht="12.75" customHeight="1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>
      <c r="A138" s="93"/>
      <c r="B138" s="483" t="s">
        <v>3</v>
      </c>
      <c r="C138" s="483"/>
      <c r="D138" s="483"/>
      <c r="E138" s="483"/>
      <c r="F138" s="98">
        <f>SUM(F118:F137)</f>
        <v>5305</v>
      </c>
      <c r="G138" s="78"/>
    </row>
    <row r="139" spans="1:10" ht="12.75" customHeight="1">
      <c r="A139" s="93"/>
      <c r="B139" s="118"/>
      <c r="C139" s="118"/>
      <c r="D139" s="118"/>
      <c r="E139" s="118"/>
      <c r="F139" s="85"/>
      <c r="G139" s="78"/>
    </row>
    <row r="140" spans="1:10" ht="12.75" customHeight="1">
      <c r="A140" s="93"/>
      <c r="B140" s="118"/>
      <c r="C140" s="118"/>
      <c r="D140" s="118"/>
      <c r="E140" s="118"/>
      <c r="F140" s="85"/>
      <c r="G140" s="78"/>
    </row>
    <row r="141" spans="1:10" ht="15" hidden="1" customHeight="1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>
      <c r="A142" s="131"/>
      <c r="B142" s="132"/>
      <c r="C142" s="139"/>
      <c r="D142" s="140"/>
      <c r="E142" s="139"/>
      <c r="F142" s="140"/>
    </row>
    <row r="143" spans="1:10" ht="18" hidden="1" customHeight="1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>
      <c r="A145" s="133"/>
      <c r="B145" s="483" t="s">
        <v>3</v>
      </c>
      <c r="C145" s="483"/>
      <c r="D145" s="483"/>
      <c r="E145" s="483"/>
      <c r="F145" s="135">
        <f>SUM(F144:F144)</f>
        <v>0</v>
      </c>
    </row>
    <row r="146" spans="1:8" ht="12.75" hidden="1" customHeight="1">
      <c r="A146" s="133"/>
      <c r="B146" s="142"/>
      <c r="C146" s="126"/>
      <c r="D146" s="143"/>
      <c r="E146" s="126"/>
      <c r="F146" s="143"/>
    </row>
    <row r="147" spans="1:8" ht="16.5" customHeight="1">
      <c r="A147" s="127"/>
      <c r="B147" s="118"/>
      <c r="C147" s="118"/>
      <c r="D147" s="118"/>
      <c r="E147" s="118"/>
      <c r="F147" s="85"/>
      <c r="G147" s="130"/>
    </row>
    <row r="148" spans="1:8" s="182" customFormat="1" ht="15.6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>
      <c r="A149" s="93"/>
      <c r="B149" s="118"/>
      <c r="C149" s="118"/>
      <c r="D149" s="118"/>
      <c r="E149" s="118"/>
      <c r="F149" s="85"/>
      <c r="G149" s="78"/>
    </row>
    <row r="150" spans="1:8" ht="16.5" customHeight="1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>
      <c r="A151" s="127"/>
      <c r="B151" s="92"/>
      <c r="C151" s="85"/>
      <c r="D151" s="85"/>
      <c r="E151" s="86"/>
      <c r="F151" s="85"/>
      <c r="G151" s="130"/>
    </row>
    <row r="152" spans="1:8" ht="16.5" customHeight="1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>
      <c r="A156" s="127"/>
      <c r="B156" s="487" t="s">
        <v>3</v>
      </c>
      <c r="C156" s="488"/>
      <c r="D156" s="488"/>
      <c r="E156" s="489"/>
      <c r="F156" s="98">
        <f>SUM(F153:F155)</f>
        <v>2000</v>
      </c>
      <c r="G156" s="130"/>
    </row>
    <row r="157" spans="1:8" ht="16.5" customHeight="1">
      <c r="A157" s="127"/>
      <c r="B157" s="118"/>
      <c r="C157" s="118"/>
      <c r="D157" s="118"/>
      <c r="E157" s="118"/>
      <c r="F157" s="85"/>
      <c r="G157" s="130"/>
    </row>
    <row r="158" spans="1:8" ht="15.6">
      <c r="A158" s="501" t="s">
        <v>76</v>
      </c>
      <c r="B158" s="501"/>
      <c r="C158" s="501"/>
      <c r="D158" s="501"/>
      <c r="E158" s="501"/>
      <c r="F158" s="87" t="s">
        <v>0</v>
      </c>
      <c r="G158" s="164">
        <f>+G18</f>
        <v>24961.5</v>
      </c>
    </row>
    <row r="161" spans="6:7" ht="15.6">
      <c r="G161" s="164"/>
    </row>
    <row r="162" spans="6:7" ht="15.6">
      <c r="G162" s="164"/>
    </row>
    <row r="163" spans="6:7" ht="15.6">
      <c r="G163" s="164"/>
    </row>
    <row r="164" spans="6:7" ht="15.6">
      <c r="G164" s="164"/>
    </row>
    <row r="165" spans="6:7" ht="15.6">
      <c r="G165" s="164"/>
    </row>
    <row r="166" spans="6:7" ht="15.6">
      <c r="F166" s="80"/>
      <c r="G166" s="164"/>
    </row>
    <row r="167" spans="6:7" ht="15.6">
      <c r="G167" s="164"/>
    </row>
    <row r="168" spans="6:7" ht="15.6">
      <c r="G168" s="164"/>
    </row>
  </sheetData>
  <mergeCells count="19"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  <mergeCell ref="A158:E158"/>
    <mergeCell ref="B106:E106"/>
    <mergeCell ref="B63:E63"/>
    <mergeCell ref="B53:E53"/>
    <mergeCell ref="A25:G25"/>
  </mergeCells>
  <phoneticPr fontId="0" type="noConversion"/>
  <conditionalFormatting sqref="C10">
    <cfRule type="aboveAverage" dxfId="6" priority="1" stopIfTrue="1" aboveAverage="0"/>
  </conditionalFormatting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indexed="43"/>
  </sheetPr>
  <dimension ref="A1:J163"/>
  <sheetViews>
    <sheetView view="pageBreakPreview" topLeftCell="B109" zoomScale="82" zoomScaleNormal="100" zoomScaleSheetLayoutView="82" workbookViewId="0">
      <selection activeCell="C10" sqref="C10:G11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5" t="s">
        <v>143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93" t="s">
        <v>654</v>
      </c>
      <c r="D10" s="464"/>
      <c r="E10" s="464"/>
      <c r="F10" s="464"/>
      <c r="G10" s="464"/>
    </row>
    <row r="11" spans="1:7" ht="24" customHeight="1">
      <c r="B11" s="29"/>
      <c r="C11" s="464"/>
      <c r="D11" s="464"/>
      <c r="E11" s="464"/>
      <c r="F11" s="464"/>
      <c r="G11" s="464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94" t="s">
        <v>37</v>
      </c>
      <c r="D14" s="494"/>
      <c r="E14" s="494"/>
      <c r="F14" s="494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95" t="s">
        <v>157</v>
      </c>
      <c r="C19" s="496"/>
      <c r="D19" s="496"/>
      <c r="E19" s="496"/>
      <c r="F19" s="496"/>
      <c r="G19" s="203">
        <f>ROUND(SUM(G15:G18),2)</f>
        <v>17290.75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90" t="s">
        <v>42</v>
      </c>
      <c r="B27" s="491"/>
      <c r="C27" s="491"/>
      <c r="D27" s="491"/>
      <c r="E27" s="491"/>
      <c r="F27" s="491"/>
      <c r="G27" s="491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90" t="s">
        <v>154</v>
      </c>
      <c r="B29" s="490"/>
      <c r="C29" s="490"/>
      <c r="D29" s="490"/>
      <c r="E29" s="490"/>
      <c r="F29" s="490"/>
      <c r="G29" s="490"/>
    </row>
    <row r="30" spans="1:10" ht="27" customHeight="1">
      <c r="A30" s="335"/>
      <c r="B30" s="335"/>
      <c r="C30" s="335"/>
      <c r="D30" s="335"/>
      <c r="E30" s="335"/>
      <c r="F30" s="335"/>
      <c r="G30" s="335"/>
    </row>
    <row r="31" spans="1:10" ht="27" customHeight="1">
      <c r="A31" s="335"/>
      <c r="B31" s="335"/>
      <c r="C31" s="335"/>
      <c r="D31" s="335"/>
      <c r="E31" s="335"/>
      <c r="F31" s="335"/>
      <c r="G31" s="335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>
      <c r="A44" s="67"/>
      <c r="B44" s="497" t="s">
        <v>3</v>
      </c>
      <c r="C44" s="497"/>
      <c r="D44" s="497"/>
      <c r="E44" s="497"/>
      <c r="F44" s="259">
        <f>SUM(F42:F43)</f>
        <v>10000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>
      <c r="A56" s="64"/>
      <c r="B56" s="502" t="s">
        <v>3</v>
      </c>
      <c r="C56" s="502"/>
      <c r="D56" s="502"/>
      <c r="E56" s="502"/>
      <c r="F56" s="259">
        <f>SUM(F54:F55)</f>
        <v>975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>
      <c r="A66" s="64"/>
      <c r="B66" s="483" t="s">
        <v>3</v>
      </c>
      <c r="C66" s="483"/>
      <c r="D66" s="483"/>
      <c r="E66" s="483"/>
      <c r="F66" s="259">
        <f>SUM(F64:F65)</f>
        <v>167.91666666666666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>
      <c r="A77" s="64"/>
      <c r="B77" s="500" t="s">
        <v>3</v>
      </c>
      <c r="C77" s="500"/>
      <c r="D77" s="500"/>
      <c r="E77" s="500"/>
      <c r="F77" s="259">
        <f>SUM(F75:F76)</f>
        <v>833.33333333333326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>
      <c r="A86" s="64"/>
      <c r="B86" s="500" t="s">
        <v>3</v>
      </c>
      <c r="C86" s="500"/>
      <c r="D86" s="500"/>
      <c r="E86" s="500"/>
      <c r="F86" s="259">
        <f>SUM(F84:F85)</f>
        <v>833.33333333333326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>
      <c r="A97" s="67"/>
      <c r="B97" s="497" t="s">
        <v>3</v>
      </c>
      <c r="C97" s="497"/>
      <c r="D97" s="497"/>
      <c r="E97" s="497"/>
      <c r="F97" s="259">
        <f>SUM(F95:F96)</f>
        <v>1666.6666666666665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>
      <c r="A106" s="133"/>
      <c r="B106" s="483" t="s">
        <v>3</v>
      </c>
      <c r="C106" s="483"/>
      <c r="D106" s="483"/>
      <c r="E106" s="483"/>
      <c r="F106" s="265">
        <f>SUM(F105:F105)</f>
        <v>580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3" t="s">
        <v>3</v>
      </c>
      <c r="C123" s="483"/>
      <c r="D123" s="483"/>
      <c r="E123" s="483"/>
      <c r="F123" s="259">
        <f>SUM(F111:F122)</f>
        <v>984.5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3" t="s">
        <v>3</v>
      </c>
      <c r="C132" s="483"/>
      <c r="D132" s="483"/>
      <c r="E132" s="483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>
      <c r="A139" s="127"/>
      <c r="B139" s="487" t="s">
        <v>3</v>
      </c>
      <c r="C139" s="488"/>
      <c r="D139" s="488"/>
      <c r="E139" s="489"/>
      <c r="F139" s="259">
        <f>SUM(F136:F138)</f>
        <v>1250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87" t="s">
        <v>3</v>
      </c>
      <c r="C151" s="488"/>
      <c r="D151" s="488"/>
      <c r="E151" s="489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501" t="s">
        <v>157</v>
      </c>
      <c r="B154" s="501"/>
      <c r="C154" s="501"/>
      <c r="D154" s="501"/>
      <c r="E154" s="501"/>
      <c r="F154" s="87" t="s">
        <v>0</v>
      </c>
      <c r="G154" s="164">
        <f>+G19</f>
        <v>17290.75</v>
      </c>
      <c r="I154" s="63">
        <f>RESUMEN!G29</f>
        <v>369353.64833333332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  <mergeCell ref="A3:G3"/>
    <mergeCell ref="B77:E77"/>
    <mergeCell ref="A29:G29"/>
    <mergeCell ref="C14:F14"/>
    <mergeCell ref="B19:F19"/>
  </mergeCells>
  <phoneticPr fontId="0" type="noConversion"/>
  <conditionalFormatting sqref="C10">
    <cfRule type="aboveAverage" dxfId="3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4140625" defaultRowHeight="13.2"/>
  <cols>
    <col min="1" max="1" width="7.5546875" style="70" customWidth="1"/>
    <col min="2" max="2" width="57" style="70" customWidth="1"/>
    <col min="3" max="3" width="18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7" customHeight="1">
      <c r="A1" s="498" t="s">
        <v>169</v>
      </c>
      <c r="B1" s="498"/>
      <c r="C1" s="498"/>
      <c r="D1" s="498"/>
      <c r="E1" s="498"/>
      <c r="F1" s="498"/>
      <c r="G1" s="498"/>
    </row>
    <row r="2" spans="1:7" ht="18" customHeight="1">
      <c r="A2" s="65"/>
      <c r="B2" s="65"/>
      <c r="C2" s="65"/>
      <c r="D2" s="65"/>
      <c r="E2" s="66"/>
      <c r="F2" s="65"/>
      <c r="G2" s="65"/>
    </row>
    <row r="3" spans="1:7" ht="18" customHeight="1">
      <c r="B3" s="68"/>
      <c r="C3" s="69"/>
      <c r="D3" s="65"/>
      <c r="E3" s="66"/>
      <c r="F3" s="65"/>
    </row>
    <row r="4" spans="1:7" ht="18" customHeight="1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>
      <c r="B5" s="68" t="s">
        <v>64</v>
      </c>
      <c r="C5" s="31" t="e">
        <f>'R'!#REF!</f>
        <v>#REF!</v>
      </c>
      <c r="G5" s="33" t="s">
        <v>1</v>
      </c>
    </row>
    <row r="6" spans="1:7" ht="18" customHeight="1">
      <c r="B6" s="68" t="s">
        <v>65</v>
      </c>
      <c r="C6" s="30" t="str">
        <f>'R'!C10</f>
        <v>:22 EDUCACIÓN</v>
      </c>
      <c r="G6" s="33" t="s">
        <v>1</v>
      </c>
    </row>
    <row r="7" spans="1:7" ht="18" customHeight="1">
      <c r="B7" s="29" t="s">
        <v>66</v>
      </c>
      <c r="C7" s="30" t="str">
        <f>'R'!C11</f>
        <v>:047 EDUCACIÓN BÁSICA</v>
      </c>
      <c r="G7" s="33"/>
    </row>
    <row r="8" spans="1:7" ht="18" customHeight="1">
      <c r="B8" s="29" t="s">
        <v>67</v>
      </c>
      <c r="C8" s="30" t="str">
        <f>'R'!C12</f>
        <v>:EDUCACIÓN PRIMARIA SECUNDARIA</v>
      </c>
    </row>
    <row r="9" spans="1:7" ht="18" customHeight="1">
      <c r="B9" s="29" t="s">
        <v>111</v>
      </c>
      <c r="C9" s="499" t="str">
        <f>'R'!C13</f>
        <v>“OPTIMIZACIÓN  DE COBERTURA METALICA Y TRIBUNA DE LA IE No. 550006 BELEN DE OSMA Y PARDO, PROVINCIA DE ANDAHUAYLAS-REGION APURIMAC"</v>
      </c>
      <c r="D9" s="499"/>
      <c r="E9" s="499"/>
      <c r="F9" s="499"/>
      <c r="G9" s="499"/>
    </row>
    <row r="10" spans="1:7" ht="18" customHeight="1">
      <c r="B10" s="29"/>
      <c r="C10" s="499"/>
      <c r="D10" s="499"/>
      <c r="E10" s="499"/>
      <c r="F10" s="499"/>
      <c r="G10" s="499"/>
    </row>
    <row r="11" spans="1:7" ht="18" customHeight="1">
      <c r="B11" s="29"/>
      <c r="C11" s="30"/>
      <c r="D11" s="65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94" t="s">
        <v>37</v>
      </c>
      <c r="D13" s="494"/>
      <c r="E13" s="494"/>
      <c r="F13" s="494"/>
      <c r="G13" s="225" t="s">
        <v>213</v>
      </c>
    </row>
    <row r="14" spans="1:7" s="182" customFormat="1" ht="20.25" customHeight="1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>
      <c r="A18" s="183"/>
      <c r="B18" s="495" t="s">
        <v>263</v>
      </c>
      <c r="C18" s="496"/>
      <c r="D18" s="496"/>
      <c r="E18" s="496"/>
      <c r="F18" s="496"/>
      <c r="G18" s="203">
        <f>SUM(G14:G17)</f>
        <v>18403.09</v>
      </c>
      <c r="H18" s="184"/>
      <c r="I18" s="184"/>
    </row>
    <row r="19" spans="1:9" ht="18" customHeight="1">
      <c r="B19" s="75"/>
      <c r="C19" s="75"/>
      <c r="D19" s="75"/>
      <c r="E19" s="75"/>
      <c r="F19" s="88"/>
      <c r="G19" s="65"/>
    </row>
    <row r="20" spans="1:9" ht="18" customHeight="1">
      <c r="B20" s="75"/>
      <c r="C20" s="75"/>
      <c r="D20" s="75"/>
      <c r="E20" s="75"/>
      <c r="F20" s="88"/>
      <c r="G20" s="65"/>
    </row>
    <row r="21" spans="1:9" ht="18" customHeight="1">
      <c r="A21" s="77"/>
      <c r="B21" s="77"/>
      <c r="C21" s="67"/>
      <c r="D21" s="78"/>
      <c r="E21" s="79"/>
      <c r="F21" s="67"/>
    </row>
    <row r="22" spans="1:9" ht="27" customHeight="1">
      <c r="A22" s="490" t="s">
        <v>42</v>
      </c>
      <c r="B22" s="491"/>
      <c r="C22" s="491"/>
      <c r="D22" s="491"/>
      <c r="E22" s="491"/>
      <c r="F22" s="491"/>
      <c r="G22" s="491"/>
    </row>
    <row r="23" spans="1:9" ht="12" customHeight="1">
      <c r="A23" s="230"/>
      <c r="B23" s="231"/>
      <c r="C23" s="232"/>
      <c r="D23" s="231"/>
      <c r="E23" s="233"/>
      <c r="F23" s="231"/>
      <c r="G23" s="231"/>
    </row>
    <row r="24" spans="1:9" ht="27" customHeight="1">
      <c r="A24" s="490" t="s">
        <v>261</v>
      </c>
      <c r="B24" s="490"/>
      <c r="C24" s="490"/>
      <c r="D24" s="490"/>
      <c r="E24" s="490"/>
      <c r="F24" s="490"/>
      <c r="G24" s="490"/>
    </row>
    <row r="25" spans="1:9" ht="12.75" customHeight="1">
      <c r="A25" s="123"/>
      <c r="B25" s="123"/>
      <c r="C25" s="124"/>
      <c r="D25" s="125"/>
      <c r="E25" s="126"/>
      <c r="F25" s="123"/>
      <c r="G25" s="123"/>
    </row>
    <row r="26" spans="1:9" s="182" customFormat="1" ht="15.6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>
      <c r="A27" s="77"/>
      <c r="B27" s="77"/>
      <c r="C27" s="67"/>
      <c r="D27" s="78"/>
      <c r="E27" s="79"/>
      <c r="F27" s="67"/>
    </row>
    <row r="28" spans="1:9" ht="18" customHeight="1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>
      <c r="A29" s="89"/>
      <c r="B29" s="90"/>
      <c r="C29" s="85"/>
      <c r="D29" s="85"/>
      <c r="E29" s="86"/>
      <c r="F29" s="85"/>
      <c r="G29" s="85"/>
    </row>
    <row r="30" spans="1:9" ht="12.75" customHeight="1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>
      <c r="A31" s="93"/>
      <c r="B31" s="78"/>
      <c r="C31" s="85"/>
      <c r="D31" s="85"/>
      <c r="E31" s="86"/>
      <c r="F31" s="85"/>
      <c r="G31" s="85"/>
    </row>
    <row r="32" spans="1:9" ht="12.75" customHeight="1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>
      <c r="A33" s="64"/>
      <c r="B33" s="92"/>
      <c r="C33" s="78"/>
      <c r="D33" s="78"/>
      <c r="E33" s="94"/>
      <c r="F33" s="78"/>
      <c r="G33" s="85"/>
    </row>
    <row r="34" spans="1:9" ht="12.75" customHeight="1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>
      <c r="A36" s="64"/>
      <c r="B36" s="117"/>
      <c r="C36" s="99"/>
      <c r="D36" s="99"/>
      <c r="E36" s="99"/>
      <c r="F36" s="97"/>
      <c r="G36" s="85"/>
    </row>
    <row r="37" spans="1:9" ht="12.75" customHeight="1">
      <c r="A37" s="67"/>
      <c r="B37" s="497" t="s">
        <v>3</v>
      </c>
      <c r="C37" s="497"/>
      <c r="D37" s="497"/>
      <c r="E37" s="497"/>
      <c r="F37" s="98">
        <f>SUM(F35:F36)</f>
        <v>7200</v>
      </c>
      <c r="G37" s="78"/>
    </row>
    <row r="38" spans="1:9" ht="12.75" customHeight="1">
      <c r="A38" s="64"/>
      <c r="B38" s="85"/>
      <c r="C38" s="85"/>
      <c r="D38" s="85"/>
      <c r="E38" s="86"/>
      <c r="F38" s="85"/>
      <c r="G38" s="85"/>
      <c r="I38" s="189"/>
    </row>
    <row r="39" spans="1:9" ht="15.75" customHeight="1">
      <c r="A39" s="64"/>
      <c r="B39" s="85"/>
      <c r="C39" s="85"/>
      <c r="D39" s="85"/>
      <c r="E39" s="86"/>
      <c r="F39" s="85"/>
      <c r="G39" s="85"/>
    </row>
    <row r="40" spans="1:9" ht="18" customHeight="1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>
      <c r="A41" s="89"/>
      <c r="B41" s="90"/>
      <c r="C41" s="85"/>
      <c r="D41" s="85"/>
      <c r="E41" s="86"/>
      <c r="F41" s="85"/>
      <c r="G41" s="85"/>
    </row>
    <row r="42" spans="1:9" ht="12.75" customHeight="1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>
      <c r="A43" s="91"/>
      <c r="B43" s="92"/>
      <c r="C43" s="85"/>
      <c r="D43" s="85"/>
      <c r="E43" s="86"/>
      <c r="F43" s="85"/>
      <c r="G43" s="85"/>
    </row>
    <row r="44" spans="1:9" ht="12.75" customHeight="1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>
      <c r="A45" s="93"/>
      <c r="B45" s="92"/>
      <c r="C45" s="78"/>
      <c r="D45" s="78"/>
      <c r="E45" s="94"/>
      <c r="F45" s="85"/>
      <c r="G45" s="85"/>
    </row>
    <row r="46" spans="1:9" ht="12.75" customHeight="1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>
      <c r="A48" s="64"/>
      <c r="B48" s="117"/>
      <c r="C48" s="99"/>
      <c r="D48" s="99"/>
      <c r="E48" s="99"/>
      <c r="F48" s="97"/>
      <c r="G48" s="85"/>
      <c r="I48" s="189"/>
    </row>
    <row r="49" spans="1:9" ht="12.75" customHeight="1">
      <c r="A49" s="64"/>
      <c r="B49" s="502" t="s">
        <v>3</v>
      </c>
      <c r="C49" s="502"/>
      <c r="D49" s="502"/>
      <c r="E49" s="502"/>
      <c r="F49" s="98">
        <f>SUM(F47:F48)</f>
        <v>648</v>
      </c>
      <c r="G49" s="85"/>
      <c r="I49" s="189"/>
    </row>
    <row r="50" spans="1:9" ht="13.5" customHeight="1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>
      <c r="A53" s="91"/>
      <c r="B53" s="92"/>
      <c r="C53" s="85"/>
      <c r="D53" s="85"/>
      <c r="E53" s="86"/>
      <c r="F53" s="85"/>
      <c r="G53" s="85"/>
      <c r="I53" s="189"/>
    </row>
    <row r="54" spans="1:9" ht="12.75" customHeight="1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>
      <c r="A55" s="64"/>
      <c r="B55" s="92"/>
      <c r="C55" s="78"/>
      <c r="D55" s="78"/>
      <c r="E55" s="94"/>
      <c r="F55" s="85"/>
      <c r="G55" s="85"/>
    </row>
    <row r="56" spans="1:9" ht="12.75" customHeigh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>
      <c r="A58" s="64"/>
      <c r="B58" s="117"/>
      <c r="C58" s="99"/>
      <c r="D58" s="99"/>
      <c r="E58" s="99"/>
      <c r="F58" s="97"/>
      <c r="G58" s="85"/>
    </row>
    <row r="59" spans="1:9" ht="12.75" customHeight="1">
      <c r="A59" s="64"/>
      <c r="B59" s="483" t="s">
        <v>3</v>
      </c>
      <c r="C59" s="483"/>
      <c r="D59" s="483"/>
      <c r="E59" s="483"/>
      <c r="F59" s="98">
        <f>SUM(F57:F58)</f>
        <v>111.60000000000001</v>
      </c>
      <c r="G59" s="85"/>
    </row>
    <row r="60" spans="1:9" ht="12.75" customHeight="1">
      <c r="A60" s="64"/>
      <c r="B60" s="101"/>
      <c r="C60" s="85"/>
      <c r="D60" s="101"/>
      <c r="E60" s="86"/>
      <c r="F60" s="85"/>
      <c r="G60" s="85"/>
    </row>
    <row r="61" spans="1:9" ht="18" customHeight="1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>
      <c r="A62" s="91"/>
      <c r="B62" s="92"/>
      <c r="C62" s="85"/>
      <c r="D62" s="85"/>
      <c r="E62" s="86"/>
      <c r="F62" s="85"/>
      <c r="G62" s="85"/>
    </row>
    <row r="63" spans="1:9" ht="12.75" customHeight="1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>
      <c r="A64" s="93"/>
      <c r="B64" s="103"/>
      <c r="C64" s="85"/>
      <c r="D64" s="85"/>
      <c r="E64" s="86"/>
      <c r="F64" s="85"/>
      <c r="G64" s="85"/>
    </row>
    <row r="65" spans="1:7" ht="12.75" customHeight="1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>
      <c r="A66" s="64"/>
      <c r="B66" s="92"/>
      <c r="C66" s="78"/>
      <c r="D66" s="78"/>
      <c r="E66" s="94"/>
      <c r="F66" s="78"/>
      <c r="G66" s="85"/>
    </row>
    <row r="67" spans="1:7" ht="12.75" customHeight="1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>
      <c r="A69" s="67"/>
      <c r="B69" s="117"/>
      <c r="C69" s="99"/>
      <c r="D69" s="99"/>
      <c r="E69" s="99"/>
      <c r="F69" s="97"/>
      <c r="G69" s="85"/>
    </row>
    <row r="70" spans="1:7" ht="12.75" customHeight="1">
      <c r="A70" s="64"/>
      <c r="B70" s="506" t="s">
        <v>3</v>
      </c>
      <c r="C70" s="506"/>
      <c r="D70" s="506"/>
      <c r="E70" s="506"/>
      <c r="F70" s="98">
        <f>SUM(F68:F69)</f>
        <v>600</v>
      </c>
      <c r="G70" s="85"/>
    </row>
    <row r="71" spans="1:7" ht="12.75" customHeight="1">
      <c r="A71" s="91"/>
      <c r="B71" s="92"/>
      <c r="C71" s="85"/>
      <c r="D71" s="85"/>
      <c r="E71" s="86"/>
      <c r="F71" s="85"/>
      <c r="G71" s="85"/>
    </row>
    <row r="72" spans="1:7" ht="12.75" customHeight="1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>
      <c r="A73" s="93"/>
      <c r="B73" s="103"/>
      <c r="C73" s="85"/>
      <c r="D73" s="85"/>
      <c r="E73" s="86"/>
      <c r="F73" s="85"/>
      <c r="G73" s="85"/>
    </row>
    <row r="74" spans="1:7" ht="12.75" customHeight="1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>
      <c r="A75" s="64"/>
      <c r="B75" s="92"/>
      <c r="C75" s="78"/>
      <c r="D75" s="78"/>
      <c r="E75" s="94"/>
      <c r="F75" s="78"/>
      <c r="G75" s="85"/>
    </row>
    <row r="76" spans="1:7" ht="12.75" customHeight="1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>
      <c r="A79" s="64"/>
      <c r="B79" s="506" t="s">
        <v>3</v>
      </c>
      <c r="C79" s="506"/>
      <c r="D79" s="506"/>
      <c r="E79" s="506"/>
      <c r="F79" s="98">
        <f>SUM(F77:F78)</f>
        <v>600</v>
      </c>
      <c r="G79" s="85"/>
    </row>
    <row r="80" spans="1:7" ht="12.75" customHeight="1">
      <c r="A80" s="91"/>
      <c r="B80" s="92"/>
      <c r="C80" s="85"/>
      <c r="D80" s="85"/>
      <c r="E80" s="86"/>
      <c r="F80" s="85"/>
      <c r="G80" s="85"/>
    </row>
    <row r="81" spans="1:8" ht="18" customHeight="1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>
      <c r="A82" s="91"/>
      <c r="B82" s="92"/>
      <c r="C82" s="85"/>
      <c r="D82" s="85"/>
      <c r="E82" s="86"/>
      <c r="F82" s="85"/>
      <c r="G82" s="85"/>
    </row>
    <row r="83" spans="1:8" ht="14.25" customHeight="1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>
      <c r="A84" s="102"/>
      <c r="B84" s="92"/>
      <c r="C84" s="78"/>
      <c r="D84" s="78"/>
      <c r="E84" s="94"/>
      <c r="F84" s="78"/>
      <c r="G84" s="85"/>
    </row>
    <row r="85" spans="1:8" ht="12.75" customHeight="1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>
      <c r="A86" s="64"/>
      <c r="B86" s="92"/>
      <c r="C86" s="78"/>
      <c r="D86" s="78"/>
      <c r="E86" s="94"/>
      <c r="F86" s="78"/>
      <c r="G86" s="85"/>
    </row>
    <row r="87" spans="1:8" ht="14.25" customHeight="1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>
      <c r="A89" s="64"/>
      <c r="B89" s="117"/>
      <c r="C89" s="99"/>
      <c r="D89" s="99"/>
      <c r="E89" s="99"/>
      <c r="F89" s="97"/>
      <c r="G89" s="85"/>
    </row>
    <row r="90" spans="1:8" ht="14.25" customHeight="1">
      <c r="A90" s="67"/>
      <c r="B90" s="497" t="s">
        <v>3</v>
      </c>
      <c r="C90" s="497"/>
      <c r="D90" s="497"/>
      <c r="E90" s="497"/>
      <c r="F90" s="98">
        <f>SUM(F88:F89)</f>
        <v>1200</v>
      </c>
      <c r="G90" s="85"/>
    </row>
    <row r="91" spans="1:8" ht="14.25" customHeight="1">
      <c r="A91" s="64"/>
      <c r="B91" s="85"/>
      <c r="C91" s="85"/>
      <c r="D91" s="85"/>
      <c r="E91" s="86"/>
      <c r="F91" s="85"/>
      <c r="G91" s="85"/>
    </row>
    <row r="92" spans="1:8" ht="12.75" customHeight="1">
      <c r="A92" s="64"/>
      <c r="B92" s="105"/>
      <c r="C92" s="85"/>
      <c r="D92" s="101"/>
      <c r="E92" s="86"/>
      <c r="F92" s="85"/>
      <c r="G92" s="85"/>
    </row>
    <row r="93" spans="1:8" s="182" customFormat="1" ht="15.6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5.6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>
      <c r="A96" s="91"/>
      <c r="B96" s="92"/>
      <c r="C96" s="85"/>
      <c r="D96" s="85"/>
      <c r="E96" s="86"/>
      <c r="F96" s="85"/>
      <c r="G96" s="85"/>
    </row>
    <row r="97" spans="1:7" ht="12.75" customHeight="1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>
      <c r="A176" s="64"/>
      <c r="B176" s="483" t="s">
        <v>3</v>
      </c>
      <c r="C176" s="483"/>
      <c r="D176" s="483"/>
      <c r="E176" s="483"/>
      <c r="F176" s="265">
        <f>SUM(F98:F175)</f>
        <v>6693.49</v>
      </c>
      <c r="G176" s="103"/>
    </row>
    <row r="177" spans="1:8" ht="12.75" customHeight="1">
      <c r="A177" s="64"/>
      <c r="B177" s="118"/>
      <c r="C177" s="118"/>
      <c r="D177" s="118"/>
      <c r="E177" s="118"/>
      <c r="F177" s="118"/>
      <c r="G177" s="103"/>
    </row>
    <row r="178" spans="1:8" s="182" customFormat="1" ht="15.6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5.6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>
      <c r="A181" s="91"/>
      <c r="B181" s="92"/>
      <c r="C181" s="85"/>
      <c r="D181" s="85"/>
      <c r="E181" s="86"/>
      <c r="F181" s="85"/>
      <c r="G181" s="78"/>
    </row>
    <row r="182" spans="1:8" ht="12.75" customHeight="1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>
      <c r="A186" s="93"/>
      <c r="B186" s="483" t="s">
        <v>3</v>
      </c>
      <c r="C186" s="483"/>
      <c r="D186" s="483"/>
      <c r="E186" s="483"/>
      <c r="F186" s="98">
        <f>SUM(F183:F185)</f>
        <v>1350</v>
      </c>
      <c r="G186" s="78"/>
    </row>
    <row r="187" spans="1:8" ht="12.75" customHeight="1">
      <c r="A187" s="93"/>
      <c r="B187" s="118"/>
      <c r="C187" s="118"/>
      <c r="D187" s="118"/>
      <c r="E187" s="118"/>
      <c r="F187" s="85"/>
      <c r="G187" s="78"/>
    </row>
    <row r="188" spans="1:8" ht="12.75" customHeight="1">
      <c r="A188" s="93"/>
      <c r="B188" s="118"/>
      <c r="C188" s="118"/>
      <c r="D188" s="118"/>
      <c r="E188" s="118"/>
      <c r="G188" s="78"/>
    </row>
    <row r="189" spans="1:8" ht="15" hidden="1" customHeight="1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>
      <c r="A190" s="91"/>
      <c r="B190" s="92"/>
      <c r="C190" s="85"/>
      <c r="D190" s="85"/>
      <c r="E190" s="86"/>
      <c r="F190" s="85"/>
      <c r="G190" s="78"/>
    </row>
    <row r="191" spans="1:8" ht="12.75" hidden="1" customHeight="1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>
      <c r="A192" s="91"/>
      <c r="B192" s="92"/>
      <c r="C192" s="85"/>
      <c r="D192" s="85"/>
      <c r="E192" s="86"/>
      <c r="F192" s="85"/>
      <c r="G192" s="78"/>
    </row>
    <row r="193" spans="1:7" ht="12.75" hidden="1" customHeight="1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>
      <c r="A197" s="91"/>
      <c r="B197" s="487" t="s">
        <v>3</v>
      </c>
      <c r="C197" s="488"/>
      <c r="D197" s="488"/>
      <c r="E197" s="489"/>
      <c r="F197" s="98">
        <f>SUM(F194:F196)</f>
        <v>6445.5</v>
      </c>
      <c r="G197" s="78"/>
    </row>
    <row r="198" spans="1:7" ht="12.75" hidden="1" customHeight="1">
      <c r="A198" s="93"/>
      <c r="B198" s="118"/>
      <c r="C198" s="118"/>
      <c r="D198" s="118"/>
      <c r="E198" s="118"/>
      <c r="F198" s="85"/>
      <c r="G198" s="78"/>
    </row>
    <row r="199" spans="1:7" ht="12.75" hidden="1" customHeight="1">
      <c r="A199" s="93"/>
      <c r="B199" s="118"/>
      <c r="C199" s="118"/>
      <c r="D199" s="118"/>
      <c r="E199" s="118"/>
      <c r="F199" s="85"/>
      <c r="G199" s="78"/>
    </row>
    <row r="200" spans="1:7" ht="15.6">
      <c r="A200" s="501" t="s">
        <v>262</v>
      </c>
      <c r="B200" s="501"/>
      <c r="C200" s="501"/>
      <c r="D200" s="501"/>
      <c r="E200" s="501"/>
      <c r="F200" s="87" t="s">
        <v>0</v>
      </c>
      <c r="G200" s="164">
        <f>+G18</f>
        <v>18403.09</v>
      </c>
    </row>
    <row r="203" spans="1:7">
      <c r="G203" s="80"/>
    </row>
    <row r="205" spans="1:7">
      <c r="G205" s="67"/>
    </row>
    <row r="206" spans="1:7">
      <c r="G206" s="165"/>
    </row>
    <row r="207" spans="1:7">
      <c r="G207" s="165"/>
    </row>
    <row r="208" spans="1:7">
      <c r="F208" s="80"/>
      <c r="G208" s="67"/>
    </row>
  </sheetData>
  <mergeCells count="16"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  <mergeCell ref="A1:G1"/>
    <mergeCell ref="C9:G10"/>
    <mergeCell ref="C13:F13"/>
    <mergeCell ref="B18:F18"/>
    <mergeCell ref="A22:G22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indexed="43"/>
  </sheetPr>
  <dimension ref="A1:J163"/>
  <sheetViews>
    <sheetView view="pageBreakPreview" topLeftCell="A112" zoomScale="106" zoomScaleNormal="100" zoomScaleSheetLayoutView="106" workbookViewId="0">
      <selection activeCell="D140" sqref="D140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5" t="s">
        <v>587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93" t="s">
        <v>654</v>
      </c>
      <c r="D10" s="464"/>
      <c r="E10" s="464"/>
      <c r="F10" s="464"/>
      <c r="G10" s="464"/>
    </row>
    <row r="11" spans="1:7" ht="22.8" customHeight="1">
      <c r="B11" s="29"/>
      <c r="C11" s="464"/>
      <c r="D11" s="464"/>
      <c r="E11" s="464"/>
      <c r="F11" s="464"/>
      <c r="G11" s="464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94" t="s">
        <v>37</v>
      </c>
      <c r="D14" s="494"/>
      <c r="E14" s="494"/>
      <c r="F14" s="494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95" t="s">
        <v>589</v>
      </c>
      <c r="C19" s="496"/>
      <c r="D19" s="496"/>
      <c r="E19" s="496"/>
      <c r="F19" s="496"/>
      <c r="G19" s="203">
        <f>ROUND(SUM(G15:G18),2)</f>
        <v>15464.06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90" t="s">
        <v>42</v>
      </c>
      <c r="B27" s="491"/>
      <c r="C27" s="491"/>
      <c r="D27" s="491"/>
      <c r="E27" s="491"/>
      <c r="F27" s="491"/>
      <c r="G27" s="491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90" t="s">
        <v>588</v>
      </c>
      <c r="B29" s="490"/>
      <c r="C29" s="490"/>
      <c r="D29" s="490"/>
      <c r="E29" s="490"/>
      <c r="F29" s="490"/>
      <c r="G29" s="490"/>
    </row>
    <row r="30" spans="1:10" ht="27" customHeight="1">
      <c r="A30" s="431"/>
      <c r="B30" s="431"/>
      <c r="C30" s="431"/>
      <c r="D30" s="431"/>
      <c r="E30" s="431"/>
      <c r="F30" s="431"/>
      <c r="G30" s="431"/>
    </row>
    <row r="31" spans="1:10" ht="27" customHeight="1">
      <c r="A31" s="431"/>
      <c r="B31" s="431"/>
      <c r="C31" s="431"/>
      <c r="D31" s="431"/>
      <c r="E31" s="431"/>
      <c r="F31" s="431"/>
      <c r="G31" s="431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432" t="s">
        <v>46</v>
      </c>
      <c r="D41" s="432" t="s">
        <v>47</v>
      </c>
      <c r="E41" s="432" t="s">
        <v>14</v>
      </c>
      <c r="F41" s="432" t="s">
        <v>4</v>
      </c>
      <c r="G41" s="85"/>
    </row>
    <row r="42" spans="1:8" ht="12.75" customHeight="1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>
      <c r="A44" s="67"/>
      <c r="B44" s="497" t="s">
        <v>3</v>
      </c>
      <c r="C44" s="497"/>
      <c r="D44" s="497"/>
      <c r="E44" s="497"/>
      <c r="F44" s="259">
        <f>SUM(F42:F43)</f>
        <v>10500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432" t="s">
        <v>46</v>
      </c>
      <c r="D53" s="432" t="s">
        <v>47</v>
      </c>
      <c r="E53" s="432" t="s">
        <v>14</v>
      </c>
      <c r="F53" s="432" t="s">
        <v>4</v>
      </c>
      <c r="G53" s="85"/>
    </row>
    <row r="54" spans="1:7" ht="12.75" customHeight="1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>
      <c r="A56" s="64"/>
      <c r="B56" s="502" t="s">
        <v>3</v>
      </c>
      <c r="C56" s="502"/>
      <c r="D56" s="502"/>
      <c r="E56" s="502"/>
      <c r="F56" s="259">
        <f>SUM(F54:F55)</f>
        <v>1023.75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432" t="s">
        <v>46</v>
      </c>
      <c r="D63" s="432" t="s">
        <v>47</v>
      </c>
      <c r="E63" s="432" t="s">
        <v>14</v>
      </c>
      <c r="F63" s="432" t="s">
        <v>4</v>
      </c>
      <c r="G63" s="85"/>
    </row>
    <row r="64" spans="1:7" ht="12.75" customHeight="1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>
      <c r="A66" s="64"/>
      <c r="B66" s="483" t="s">
        <v>3</v>
      </c>
      <c r="C66" s="483"/>
      <c r="D66" s="483"/>
      <c r="E66" s="483"/>
      <c r="F66" s="259">
        <f>SUM(F64:F65)</f>
        <v>176.3125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432" t="s">
        <v>46</v>
      </c>
      <c r="D74" s="432" t="s">
        <v>47</v>
      </c>
      <c r="E74" s="432" t="s">
        <v>14</v>
      </c>
      <c r="F74" s="432" t="s">
        <v>4</v>
      </c>
      <c r="G74" s="85"/>
    </row>
    <row r="75" spans="1:7" ht="12.75" customHeight="1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>
      <c r="A77" s="64"/>
      <c r="B77" s="500" t="s">
        <v>3</v>
      </c>
      <c r="C77" s="500"/>
      <c r="D77" s="500"/>
      <c r="E77" s="500"/>
      <c r="F77" s="259">
        <f>SUM(F75:F76)</f>
        <v>875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432" t="s">
        <v>46</v>
      </c>
      <c r="D83" s="432" t="s">
        <v>47</v>
      </c>
      <c r="E83" s="432" t="s">
        <v>14</v>
      </c>
      <c r="F83" s="432" t="s">
        <v>4</v>
      </c>
      <c r="G83" s="85"/>
    </row>
    <row r="84" spans="1:7" ht="12.75" customHeight="1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>
      <c r="A86" s="64"/>
      <c r="B86" s="500" t="s">
        <v>3</v>
      </c>
      <c r="C86" s="500"/>
      <c r="D86" s="500"/>
      <c r="E86" s="500"/>
      <c r="F86" s="259">
        <f>SUM(F84:F85)</f>
        <v>875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432" t="s">
        <v>46</v>
      </c>
      <c r="D94" s="432" t="s">
        <v>47</v>
      </c>
      <c r="E94" s="432" t="s">
        <v>14</v>
      </c>
      <c r="F94" s="432" t="s">
        <v>4</v>
      </c>
      <c r="G94" s="85"/>
    </row>
    <row r="95" spans="1:7" ht="14.25" customHeight="1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>
      <c r="A97" s="67"/>
      <c r="B97" s="497" t="s">
        <v>3</v>
      </c>
      <c r="C97" s="497"/>
      <c r="D97" s="497"/>
      <c r="E97" s="497"/>
      <c r="F97" s="259">
        <f>SUM(F96:F96)</f>
        <v>750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>
      <c r="A106" s="133"/>
      <c r="B106" s="483" t="s">
        <v>3</v>
      </c>
      <c r="C106" s="483"/>
      <c r="D106" s="483"/>
      <c r="E106" s="483"/>
      <c r="F106" s="265">
        <f>SUM(F105:F105)</f>
        <v>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433"/>
      <c r="F108" s="87" t="s">
        <v>0</v>
      </c>
      <c r="G108" s="88">
        <f>+F123</f>
        <v>964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432" t="s">
        <v>63</v>
      </c>
      <c r="D110" s="432" t="s">
        <v>25</v>
      </c>
      <c r="E110" s="432" t="s">
        <v>5</v>
      </c>
      <c r="F110" s="432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3" t="s">
        <v>3</v>
      </c>
      <c r="C123" s="483"/>
      <c r="D123" s="483"/>
      <c r="E123" s="483"/>
      <c r="F123" s="259">
        <f>SUM(F111:F122)</f>
        <v>964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3" t="s">
        <v>3</v>
      </c>
      <c r="C132" s="483"/>
      <c r="D132" s="483"/>
      <c r="E132" s="483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>
      <c r="A135" s="127"/>
      <c r="B135" s="95" t="s">
        <v>53</v>
      </c>
      <c r="C135" s="432" t="s">
        <v>63</v>
      </c>
      <c r="D135" s="432" t="s">
        <v>25</v>
      </c>
      <c r="E135" s="432" t="s">
        <v>5</v>
      </c>
      <c r="F135" s="432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>
      <c r="A139" s="127"/>
      <c r="B139" s="487" t="s">
        <v>3</v>
      </c>
      <c r="C139" s="488"/>
      <c r="D139" s="488"/>
      <c r="E139" s="489"/>
      <c r="F139" s="259">
        <f>SUM(F136:F138)</f>
        <v>300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433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432" t="s">
        <v>63</v>
      </c>
      <c r="D147" s="432" t="s">
        <v>25</v>
      </c>
      <c r="E147" s="432" t="s">
        <v>5</v>
      </c>
      <c r="F147" s="432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87" t="s">
        <v>3</v>
      </c>
      <c r="C151" s="488"/>
      <c r="D151" s="488"/>
      <c r="E151" s="489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501" t="s">
        <v>589</v>
      </c>
      <c r="B154" s="501"/>
      <c r="C154" s="501"/>
      <c r="D154" s="501"/>
      <c r="E154" s="501"/>
      <c r="F154" s="87" t="s">
        <v>0</v>
      </c>
      <c r="G154" s="164">
        <f>+G19</f>
        <v>15464.06</v>
      </c>
      <c r="I154" s="63">
        <f>RESUMEN!G29</f>
        <v>369353.64833333332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29:G29"/>
    <mergeCell ref="A3:G3"/>
    <mergeCell ref="C10:G11"/>
    <mergeCell ref="C14:F14"/>
    <mergeCell ref="B19:F19"/>
    <mergeCell ref="A27:G27"/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</mergeCells>
  <conditionalFormatting sqref="C10">
    <cfRule type="aboveAverage" dxfId="1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ORFEI 751</cp:lastModifiedBy>
  <cp:lastPrinted>2020-05-19T17:14:12Z</cp:lastPrinted>
  <dcterms:created xsi:type="dcterms:W3CDTF">2003-01-21T17:07:22Z</dcterms:created>
  <dcterms:modified xsi:type="dcterms:W3CDTF">2020-07-22T02:35:20Z</dcterms:modified>
</cp:coreProperties>
</file>
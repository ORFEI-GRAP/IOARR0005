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IOARR0005-SANTA-ROSA\7.0 DESAGREGADO DE GASTOS\"/>
    </mc:Choice>
  </mc:AlternateContent>
  <bookViews>
    <workbookView xWindow="-105" yWindow="-105" windowWidth="30930" windowHeight="16890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RESUMEN!$B$1:$G$39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2" i="25" l="1"/>
  <c r="J27" i="25"/>
  <c r="J18" i="25"/>
  <c r="E28" i="25"/>
  <c r="G28" i="25"/>
  <c r="E27" i="25"/>
  <c r="G17" i="25"/>
  <c r="G19" i="25"/>
  <c r="G24" i="25" l="1"/>
  <c r="D445" i="13"/>
  <c r="G30" i="25" l="1"/>
  <c r="E26" i="25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D77" i="21" l="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2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89" i="22" l="1"/>
  <c r="G80" i="22" s="1"/>
  <c r="G26" i="21"/>
  <c r="G14" i="21" s="1"/>
  <c r="G18" i="21" s="1"/>
  <c r="G200" i="21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7" i="25" s="1"/>
  <c r="G19" i="11"/>
  <c r="G16" i="25" s="1"/>
  <c r="E16" i="25" s="1"/>
  <c r="D21" i="10"/>
  <c r="D22" i="10" s="1"/>
  <c r="G16" i="10"/>
  <c r="K19" i="11" l="1"/>
  <c r="K22" i="11" s="1"/>
  <c r="K25" i="11" s="1"/>
  <c r="G204" i="11"/>
  <c r="K16" i="10"/>
  <c r="G19" i="10" l="1"/>
  <c r="I154" i="16" l="1"/>
  <c r="E21" i="10"/>
  <c r="K19" i="10"/>
  <c r="K21" i="10" s="1"/>
  <c r="L21" i="10" s="1"/>
  <c r="G21" i="10"/>
  <c r="B32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<sst xmlns="http://schemas.openxmlformats.org/spreadsheetml/2006/main" count="2149" uniqueCount="655">
  <si>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</si>
  <si>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</si>
  <si>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</si>
  <si>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</si>
  <si>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</si>
  <si>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</si>
  <si>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</si>
  <si>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</si>
  <si>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</si>
  <si>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</si>
  <si>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</si>
  <si>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</si>
  <si>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</si>
  <si>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</si>
  <si>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</si>
  <si>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</si>
  <si>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</si>
  <si>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</si>
  <si>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</si>
  <si>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</si>
  <si>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</si>
  <si>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</si>
  <si>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</si>
  <si>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</si>
  <si>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</si>
  <si>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</si>
  <si>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</si>
  <si>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</si>
  <si>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</si>
  <si>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</si>
  <si>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</si>
  <si>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</si>
  <si>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</si>
  <si>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</si>
  <si>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</si>
  <si>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</si>
  <si>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</si>
  <si>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</si>
  <si>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</si>
  <si>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</si>
  <si>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</si>
  <si>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</si>
  <si>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</si>
  <si>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</si>
  <si>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</si>
  <si>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</si>
  <si>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</si>
  <si>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</si>
  <si>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</si>
  <si>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</si>
  <si>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</si>
  <si>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</si>
  <si>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</si>
  <si>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</si>
  <si>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</si>
  <si>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</si>
  <si>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</si>
  <si>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</si>
  <si>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</si>
  <si>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</si>
  <si>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</si>
  <si>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</si>
  <si>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</si>
  <si>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</si>
  <si>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</si>
  <si>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</si>
  <si>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</si>
  <si>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</si>
  <si>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</si>
  <si>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</si>
  <si>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</si>
  <si>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</si>
  <si>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</si>
  <si>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</si>
  <si>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</si>
  <si>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</si>
  <si>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</si>
  <si>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</si>
  <si>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</si>
  <si>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</si>
  <si>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</si>
  <si>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</si>
  <si>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</si>
  <si>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</si>
  <si>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</si>
  <si>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</si>
  <si>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</si>
  <si>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</si>
  <si>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</si>
  <si>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</si>
  <si>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</si>
  <si>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</si>
  <si>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</si>
  <si>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</si>
  <si>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</si>
  <si>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</si>
  <si>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</si>
  <si>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</si>
  <si>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</si>
  <si>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</si>
  <si>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</si>
  <si>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</si>
  <si>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</si>
  <si>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</si>
  <si>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</si>
  <si>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</si>
  <si>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</si>
  <si>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</si>
  <si>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</si>
  <si>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</si>
  <si>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</si>
  <si>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</si>
  <si>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</si>
  <si>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</si>
  <si>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</si>
  <si>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</si>
  <si>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</si>
  <si>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</si>
  <si>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</si>
  <si>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</si>
  <si>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</si>
  <si>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</si>
  <si>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</si>
  <si>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</si>
  <si>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</si>
  <si>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</si>
  <si>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</si>
  <si>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</si>
  <si>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</si>
  <si>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</si>
  <si>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</si>
  <si>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</si>
  <si>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</si>
  <si>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</si>
  <si>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</si>
  <si>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</si>
  <si>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</si>
  <si>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</si>
  <si>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</si>
  <si>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</si>
  <si>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</si>
  <si>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</si>
  <si>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</si>
  <si>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</si>
  <si>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</si>
  <si>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</si>
  <si>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</si>
  <si>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</si>
  <si>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</si>
  <si>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</si>
  <si>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</si>
  <si>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</si>
  <si>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</si>
  <si>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</si>
  <si>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</si>
  <si>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</si>
  <si>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</si>
  <si>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</si>
  <si>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</si>
  <si>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</si>
  <si>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</si>
  <si>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</si>
  <si>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</si>
  <si>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</si>
  <si>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</si>
  <si>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</si>
  <si>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</si>
  <si>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</si>
  <si>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</si>
  <si>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</si>
  <si>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</si>
  <si>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</si>
  <si>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</si>
  <si>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</si>
  <si>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</si>
  <si>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</si>
  <si>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</si>
  <si>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</si>
  <si>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</si>
  <si>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</si>
  <si>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</si>
  <si>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</si>
  <si>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</si>
  <si>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</si>
  <si>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</si>
  <si>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</si>
  <si>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</si>
  <si>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</si>
  <si>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</si>
  <si>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</si>
  <si>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</si>
  <si>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</si>
  <si>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</si>
  <si>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</si>
  <si>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</si>
  <si>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</si>
  <si>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</si>
  <si>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</si>
  <si>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</si>
  <si>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</si>
  <si>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</si>
  <si>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</si>
  <si>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</si>
  <si>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</si>
  <si>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</si>
  <si>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</si>
  <si>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</si>
  <si>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</si>
  <si>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</si>
  <si>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</si>
  <si>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</si>
  <si>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</si>
  <si>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</si>
  <si>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</si>
  <si>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</si>
  <si>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</si>
  <si>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</si>
  <si>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</si>
  <si>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</si>
  <si>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</si>
  <si>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</si>
  <si>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</si>
  <si>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</si>
  <si>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</si>
  <si>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</si>
  <si>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</si>
  <si>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</si>
  <si>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</si>
  <si>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</si>
  <si>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</si>
  <si>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</si>
  <si>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</si>
  <si>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</si>
  <si>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</si>
  <si>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</si>
  <si>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</si>
  <si>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</si>
  <si>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</si>
  <si>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</si>
  <si>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</si>
  <si>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</si>
  <si>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</si>
  <si>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</si>
  <si>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</si>
  <si>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</si>
  <si>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</si>
  <si>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</si>
  <si>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</si>
  <si>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</si>
  <si>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</si>
  <si>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</si>
  <si>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</si>
  <si>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</si>
  <si>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</si>
  <si>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</si>
  <si>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</si>
  <si>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</si>
  <si>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</si>
  <si>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</si>
  <si>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</si>
  <si>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</si>
  <si>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</si>
  <si>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</si>
  <si>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</si>
  <si>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</si>
  <si>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</si>
  <si>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</si>
  <si>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</si>
  <si>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</si>
  <si>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</si>
  <si>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</si>
  <si>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</si>
  <si>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</si>
  <si>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</si>
  <si>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</si>
  <si>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</si>
  <si>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</si>
  <si>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</si>
  <si>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</si>
  <si>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</si>
  <si>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</si>
  <si>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</si>
  <si>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</si>
  <si>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</si>
  <si>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</si>
  <si>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</si>
  <si>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</si>
  <si>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</si>
  <si>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</si>
  <si>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</si>
  <si>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</si>
  <si>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</si>
  <si>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</si>
  <si>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</si>
  <si>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</si>
  <si>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</si>
  <si>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</si>
  <si>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</si>
  <si>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</si>
  <si>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</si>
  <si>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</si>
  <si>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</si>
  <si>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</si>
  <si>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</si>
  <si>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</si>
  <si>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</si>
  <si>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</si>
  <si>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</si>
  <si>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</si>
  <si>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</si>
  <si>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</si>
  <si>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</si>
  <si>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</si>
  <si>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</si>
  <si>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</si>
  <si>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</si>
  <si>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</si>
  <si>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</si>
  <si>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</si>
  <si>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</si>
  <si>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</si>
  <si>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</si>
  <si>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</si>
  <si>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</si>
  <si>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</si>
  <si>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</si>
  <si>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</si>
  <si>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</si>
  <si>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</si>
  <si>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</si>
  <si>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</si>
  <si>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</si>
  <si>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</si>
  <si>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</si>
  <si>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</si>
  <si>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</si>
  <si>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</si>
  <si>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</si>
  <si>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</si>
  <si>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</si>
  <si>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</si>
  <si>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</si>
  <si>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</si>
  <si>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</si>
  <si>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</si>
  <si>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</si>
  <si>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</si>
  <si>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</si>
  <si>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</si>
  <si>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</si>
  <si>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</si>
  <si>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</si>
  <si>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</si>
  <si>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</si>
  <si>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</si>
  <si>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</si>
  <si>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</si>
  <si>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</si>
  <si>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</si>
  <si>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</si>
  <si>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</si>
  <si>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</si>
  <si>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</si>
  <si>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</si>
  <si>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</si>
  <si>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</si>
  <si>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</si>
  <si>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</si>
  <si>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</si>
  <si>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</si>
  <si>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</si>
  <si>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</si>
  <si>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</si>
  <si>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</si>
  <si>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</si>
  <si>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</si>
  <si>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</si>
  <si>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</si>
  <si>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</si>
  <si>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</si>
  <si>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</si>
  <si>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</si>
  <si>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</si>
  <si>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</si>
  <si>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</si>
  <si>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</si>
  <si>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</si>
  <si>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</si>
  <si>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</si>
  <si>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</si>
  <si>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</si>
  <si>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</si>
  <si>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</si>
  <si>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</si>
  <si>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</si>
  <si>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</si>
  <si>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</si>
  <si>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</si>
  <si>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</si>
  <si>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</si>
  <si>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</si>
  <si>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</si>
  <si>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</si>
  <si>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</si>
  <si>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</si>
  <si>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</si>
  <si>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</si>
  <si>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</si>
  <si>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</si>
  <si>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</si>
  <si>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</si>
  <si>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</si>
  <si>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</si>
  <si>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</si>
  <si>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</si>
  <si>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</si>
  <si>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</si>
  <si>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</si>
  <si>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</si>
  <si>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</si>
  <si>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</si>
  <si>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</si>
  <si>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</si>
  <si>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</si>
  <si>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</si>
  <si>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</si>
  <si>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</si>
  <si>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</si>
  <si>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</si>
  <si>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</si>
  <si>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</si>
  <si>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</si>
  <si>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</si>
  <si>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</si>
  <si>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</si>
  <si>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</si>
  <si>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</si>
  <si>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</si>
  <si>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</si>
  <si>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</si>
  <si>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</si>
  <si>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</si>
  <si>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</si>
  <si>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</si>
  <si>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</si>
  <si>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</si>
  <si>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</si>
  <si>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</si>
  <si>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</si>
  <si>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</si>
  <si>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</si>
  <si>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</si>
  <si>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</si>
  <si>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</si>
  <si>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</si>
  <si>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</si>
  <si>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</si>
  <si>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</si>
  <si>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</si>
  <si>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</si>
  <si>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</si>
  <si>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</si>
  <si>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</si>
  <si>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</si>
  <si>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</si>
  <si>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</si>
  <si>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</si>
  <si>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</si>
  <si>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</si>
  <si>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</si>
  <si>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</si>
  <si>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</si>
  <si>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</si>
  <si>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</si>
  <si>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</si>
  <si>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</si>
  <si>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</si>
  <si>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</si>
  <si>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</si>
  <si>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</si>
  <si>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</si>
  <si>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</si>
  <si>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</si>
  <si>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</si>
  <si>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</si>
  <si>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</si>
  <si>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</si>
  <si>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</si>
  <si>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</si>
  <si>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</si>
  <si>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</si>
  <si>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</si>
  <si>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</si>
  <si>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</si>
  <si>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</si>
  <si>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</si>
  <si>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</si>
  <si>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</si>
  <si>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</si>
  <si>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</si>
  <si>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</si>
  <si>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</si>
  <si>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</si>
  <si>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</si>
  <si>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</si>
  <si>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</si>
  <si>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</si>
  <si>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</si>
  <si>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</si>
  <si>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</si>
  <si>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</si>
  <si>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</si>
  <si>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</si>
  <si>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</si>
  <si>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</si>
  <si>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</si>
  <si>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</si>
  <si>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</si>
  <si>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</si>
  <si>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</si>
  <si>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</si>
  <si>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</si>
  <si>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</si>
  <si>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</si>
  <si>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</si>
  <si>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</si>
  <si>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</si>
  <si>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</si>
  <si>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</si>
  <si>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</si>
  <si>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</si>
  <si>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</si>
  <si>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</si>
  <si>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</si>
  <si>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</si>
  <si>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</si>
  <si>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</si>
  <si>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</si>
  <si>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</si>
  <si>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</si>
  <si>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</si>
  <si>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</si>
  <si>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</si>
  <si>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</si>
  <si>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</si>
  <si>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</si>
  <si>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</si>
  <si>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</si>
  <si>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</si>
  <si>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</si>
  <si>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</si>
  <si>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</si>
  <si>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</si>
  <si>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</si>
  <si>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</si>
  <si>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</si>
  <si>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</si>
  <si>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</si>
  <si>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</si>
  <si>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</si>
  <si>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</si>
  <si>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</si>
  <si>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</si>
  <si>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</si>
  <si>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</si>
  <si>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</si>
  <si>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</si>
  <si>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</si>
  <si>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</si>
  <si>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</si>
  <si>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</si>
  <si>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</si>
  <si>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</si>
  <si>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</si>
  <si>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</si>
  <si>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</si>
  <si>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</si>
  <si>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</si>
  <si>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</si>
  <si>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</si>
  <si>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</si>
  <si>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</si>
  <si>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</si>
  <si>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</si>
  <si>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</si>
  <si>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</si>
  <si>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</si>
  <si>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</si>
  <si>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</si>
  <si>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</si>
  <si>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</si>
  <si>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</si>
  <si>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</si>
  <si>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</si>
  <si>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</si>
  <si>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</si>
  <si>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</si>
  <si>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</si>
  <si>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</si>
  <si>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</si>
  <si>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</si>
  <si>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</si>
  <si>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</si>
  <si>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</si>
  <si>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</si>
  <si>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</si>
  <si>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</si>
  <si>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</si>
  <si>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</si>
  <si>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</si>
  <si>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</si>
  <si>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</si>
  <si>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</si>
  <si>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</si>
  <si>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</si>
  <si>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</si>
  <si>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</si>
  <si>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</si>
  <si>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</si>
  <si>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</si>
  <si>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</si>
  <si>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</si>
  <si>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</si>
  <si>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</si>
  <si>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</si>
  <si>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</si>
  <si>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</si>
  <si>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</si>
  <si>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</si>
  <si>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</si>
  <si>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</si>
  <si>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</si>
  <si>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</si>
  <si>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</si>
  <si>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</si>
  <si>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</si>
  <si>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</si>
  <si>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</si>
  <si>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</si>
  <si>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</si>
  <si>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</si>
  <si>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</si>
  <si>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</si>
  <si>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</si>
  <si>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</si>
  <si>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</si>
  <si>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</si>
  <si>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</si>
  <si>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</si>
  <si>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</si>
  <si>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</si>
  <si>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</si>
  <si>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</si>
  <si>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DEPORTIVA MULTIUSO DE LA IEP N°54411 "ANDRES AVELINO CACERES - SANTA ROSA", DISTRITO SANTA ROSA, PROVINCIA GRAU-REGION APURIMAC"</t>
  </si>
  <si>
    <t>IOARR "OPTIMIZACION MEDIANTE COBERTURA DE LA LOSA DEPORTIVA MULTIUSO DE LA IEP N°54411 "ANDRES AVELINO CACERES - SANTA ROSA", DISTRITO SANTA ROSA, PROVINCIA GRAU-REGION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</si>
</sst>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2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5" xfId="0" applyFont="1" applyFill="1" applyBorder="1" applyAlignment="1">
      <alignment horizontal="center" vertical="center" wrapText="1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  <xf numFmtId="172" fontId="56" fillId="11" borderId="0" xfId="0" applyNumberFormat="1" applyFont="1" applyFill="1" applyBorder="1" applyAlignment="1">
      <alignment horizontal="center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28</xdr:row>
      <xdr:rowOff>4233</xdr:rowOff>
    </xdr:from>
    <xdr:to>
      <xdr:col>5</xdr:col>
      <xdr:colOff>956733</xdr:colOff>
      <xdr:row>30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2"/>
  <sheetViews>
    <sheetView tabSelected="1" view="pageBreakPreview" zoomScale="98" zoomScaleNormal="100" zoomScaleSheetLayoutView="98" workbookViewId="0">
      <selection activeCell="H27" sqref="H27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s="434" customFormat="1"/>
    <row r="2" spans="2:10" s="434" customFormat="1"/>
    <row r="3" spans="2:10" s="434" customFormat="1" ht="21" thickBot="1">
      <c r="B3" s="450"/>
      <c r="C3" s="451"/>
      <c r="D3" s="451"/>
      <c r="E3" s="451"/>
      <c r="F3" s="451"/>
      <c r="G3" s="451"/>
      <c r="H3" s="362"/>
      <c r="I3" s="362"/>
    </row>
    <row r="4" spans="2:10" ht="109.5" customHeight="1">
      <c r="B4" s="436" t="s">
        <v>653</v>
      </c>
      <c r="C4" s="437"/>
      <c r="D4" s="437"/>
      <c r="E4" s="437"/>
      <c r="F4" s="437"/>
      <c r="G4" s="438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75">
      <c r="B6" s="366"/>
      <c r="C6" s="369" t="s">
        <v>652</v>
      </c>
      <c r="D6" s="370"/>
      <c r="E6" s="370"/>
      <c r="F6" s="367"/>
      <c r="G6" s="371"/>
      <c r="H6" s="362"/>
    </row>
    <row r="7" spans="2:10" ht="18.75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75">
      <c r="B9" s="366"/>
      <c r="C9" s="379" t="s">
        <v>374</v>
      </c>
      <c r="D9" s="375"/>
      <c r="E9" s="375"/>
      <c r="F9" s="380"/>
      <c r="G9" s="381">
        <v>239119.55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3.25">
      <c r="B11" s="366"/>
      <c r="C11" s="439" t="s">
        <v>375</v>
      </c>
      <c r="D11" s="439"/>
      <c r="E11" s="439"/>
      <c r="F11" s="439"/>
      <c r="G11" s="440"/>
      <c r="H11" s="384"/>
      <c r="I11" s="385"/>
    </row>
    <row r="12" spans="2:10" ht="15.75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4.25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239119.55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239119.55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0.26350000000000001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302137.33333333331</v>
      </c>
      <c r="H17" s="403"/>
      <c r="I17" s="408"/>
    </row>
    <row r="18" spans="2:10" ht="15.75">
      <c r="B18" s="366"/>
      <c r="C18" s="367"/>
      <c r="D18" s="409"/>
      <c r="E18" s="409"/>
      <c r="F18" s="410"/>
      <c r="G18" s="411"/>
      <c r="H18" s="362"/>
      <c r="I18" s="412"/>
      <c r="J18">
        <f>G16/G15</f>
        <v>0.26354090802418007</v>
      </c>
    </row>
    <row r="19" spans="2:10" ht="15.75">
      <c r="B19" s="366"/>
      <c r="C19" s="413"/>
      <c r="D19" s="414" t="s">
        <v>651</v>
      </c>
      <c r="E19" s="414"/>
      <c r="F19" s="415"/>
      <c r="G19" s="416">
        <f>G17</f>
        <v>302137.33333333331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>
      <c r="B21" s="366"/>
      <c r="C21" s="367"/>
      <c r="D21" s="367"/>
      <c r="E21" s="367"/>
      <c r="F21" s="367"/>
      <c r="G21" s="417"/>
      <c r="H21" s="362"/>
      <c r="I21" s="363"/>
    </row>
    <row r="22" spans="2:10">
      <c r="B22" s="366"/>
      <c r="C22" s="367"/>
      <c r="D22" s="399" t="s">
        <v>588</v>
      </c>
      <c r="E22" s="400">
        <f>G22/G19</f>
        <v>5.1182221771115123E-2</v>
      </c>
      <c r="F22" s="367"/>
      <c r="G22" s="402">
        <f>Gestión!G19</f>
        <v>15464.06</v>
      </c>
      <c r="H22" s="362"/>
      <c r="I22" s="363"/>
      <c r="J22" s="405"/>
    </row>
    <row r="23" spans="2:10" ht="12" customHeight="1">
      <c r="B23" s="366"/>
      <c r="C23" s="367"/>
      <c r="D23" s="367"/>
      <c r="E23" s="367"/>
      <c r="F23" s="367"/>
      <c r="G23" s="417"/>
      <c r="H23" s="362"/>
      <c r="I23" s="363"/>
    </row>
    <row r="24" spans="2:10" ht="15.75">
      <c r="B24" s="366"/>
      <c r="C24" s="413"/>
      <c r="D24" s="418" t="s">
        <v>650</v>
      </c>
      <c r="E24" s="418"/>
      <c r="F24" s="419"/>
      <c r="G24" s="420">
        <f>G19+G22+0.005</f>
        <v>317601.39833333332</v>
      </c>
      <c r="H24" s="362"/>
    </row>
    <row r="25" spans="2:10">
      <c r="B25" s="366"/>
      <c r="C25" s="367"/>
      <c r="D25" s="367"/>
      <c r="E25" s="367"/>
      <c r="F25" s="367"/>
      <c r="G25" s="417" t="s">
        <v>1</v>
      </c>
      <c r="H25" s="362"/>
      <c r="I25" s="363"/>
    </row>
    <row r="26" spans="2:10">
      <c r="B26" s="366"/>
      <c r="C26" s="367"/>
      <c r="D26" s="399" t="s">
        <v>367</v>
      </c>
      <c r="E26" s="400">
        <f>G26/G24</f>
        <v>3.1486007468722363E-2</v>
      </c>
      <c r="F26" s="367"/>
      <c r="G26" s="402">
        <v>10000</v>
      </c>
      <c r="H26" s="362"/>
      <c r="I26" s="363"/>
      <c r="J26" s="405"/>
    </row>
    <row r="27" spans="2:10">
      <c r="B27" s="366"/>
      <c r="C27" s="367"/>
      <c r="D27" s="399" t="s">
        <v>380</v>
      </c>
      <c r="E27" s="400">
        <f>G27/G24</f>
        <v>7.8593797543051333E-2</v>
      </c>
      <c r="F27" s="367"/>
      <c r="G27" s="402">
        <f>Supervision!G158</f>
        <v>24961.5</v>
      </c>
      <c r="H27" s="362"/>
      <c r="I27" s="363"/>
      <c r="J27" s="433">
        <f>G27/G19</f>
        <v>8.2616404019364265E-2</v>
      </c>
    </row>
    <row r="28" spans="2:10">
      <c r="B28" s="366"/>
      <c r="C28" s="367"/>
      <c r="D28" s="399" t="s">
        <v>138</v>
      </c>
      <c r="E28" s="400">
        <f>G28/G24</f>
        <v>5.4441668363981122E-2</v>
      </c>
      <c r="F28" s="367"/>
      <c r="G28" s="511">
        <f>Liquidacion!G19</f>
        <v>17290.75</v>
      </c>
      <c r="H28" s="362"/>
      <c r="I28" s="363"/>
      <c r="J28" s="405"/>
    </row>
    <row r="29" spans="2:10">
      <c r="B29" s="366"/>
      <c r="C29" s="367"/>
      <c r="D29" s="367"/>
      <c r="E29" s="367"/>
      <c r="F29" s="367"/>
      <c r="G29" s="417"/>
      <c r="H29" s="362"/>
      <c r="I29" s="363"/>
    </row>
    <row r="30" spans="2:10" ht="18">
      <c r="B30" s="366"/>
      <c r="C30" s="413"/>
      <c r="D30" s="418" t="s">
        <v>381</v>
      </c>
      <c r="E30" s="418"/>
      <c r="F30" s="419"/>
      <c r="G30" s="421">
        <f>G24+G26+G27+G28</f>
        <v>369853.64833333332</v>
      </c>
      <c r="H30" s="362"/>
      <c r="J30" s="422"/>
    </row>
    <row r="31" spans="2:10" ht="12.75" customHeight="1" thickBot="1">
      <c r="B31" s="423"/>
      <c r="C31" s="424"/>
      <c r="D31" s="424"/>
      <c r="E31" s="424"/>
      <c r="F31" s="424"/>
      <c r="G31" s="425"/>
      <c r="H31" s="362"/>
      <c r="I31" s="363"/>
      <c r="J31" s="422"/>
    </row>
    <row r="32" spans="2:10" ht="12.75" customHeight="1">
      <c r="B32" s="441" t="str">
        <f>CONCATENATE("SON : ",letra(G30)," NUEVOS SOLES")</f>
        <v>SON : TRESCIENTOS SESENTA Y NUEVE MIL OCHOCIENTOS CINCUENTA Y TRES CON 65/100 NUEVOS SOLES</v>
      </c>
      <c r="C32" s="442"/>
      <c r="D32" s="442"/>
      <c r="E32" s="442"/>
      <c r="F32" s="442"/>
      <c r="G32" s="443"/>
      <c r="H32" s="362"/>
      <c r="I32" s="363"/>
    </row>
    <row r="33" spans="1:9" ht="12.75" customHeight="1">
      <c r="B33" s="444"/>
      <c r="C33" s="445"/>
      <c r="D33" s="445"/>
      <c r="E33" s="445"/>
      <c r="F33" s="445"/>
      <c r="G33" s="446"/>
      <c r="H33" s="362"/>
      <c r="I33" s="363"/>
    </row>
    <row r="34" spans="1:9" ht="13.5" customHeight="1" thickBot="1">
      <c r="B34" s="447"/>
      <c r="C34" s="448"/>
      <c r="D34" s="448"/>
      <c r="E34" s="448"/>
      <c r="F34" s="448"/>
      <c r="G34" s="449"/>
      <c r="H34" s="362"/>
      <c r="I34" s="363"/>
    </row>
    <row r="35" spans="1:9">
      <c r="B35" s="426"/>
      <c r="C35" s="426"/>
      <c r="D35" s="426"/>
      <c r="E35" s="426"/>
      <c r="F35" s="426"/>
      <c r="G35" s="426"/>
      <c r="H35" s="362"/>
      <c r="I35" s="363"/>
    </row>
    <row r="36" spans="1:9">
      <c r="A36" s="363"/>
      <c r="B36" s="426"/>
      <c r="C36" s="427"/>
      <c r="D36" s="426"/>
      <c r="E36" s="426"/>
      <c r="F36" s="426"/>
      <c r="G36" s="426"/>
    </row>
    <row r="37" spans="1:9">
      <c r="B37" s="426"/>
      <c r="C37" s="427"/>
      <c r="D37" s="426"/>
      <c r="E37" s="426"/>
      <c r="F37" s="426"/>
      <c r="G37" s="426"/>
    </row>
    <row r="38" spans="1:9">
      <c r="C38" s="427"/>
    </row>
    <row r="39" spans="1:9">
      <c r="C39" s="427"/>
      <c r="D39" s="362"/>
    </row>
    <row r="40" spans="1:9">
      <c r="D40" s="362"/>
    </row>
    <row r="42" spans="1:9">
      <c r="G42" s="405"/>
    </row>
  </sheetData>
  <mergeCells count="4">
    <mergeCell ref="B4:G4"/>
    <mergeCell ref="C11:G11"/>
    <mergeCell ref="B32:G34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/>
    <row r="2" spans="1:11" ht="20.25" customHeight="1"/>
    <row r="3" spans="1:11" ht="11.25" customHeight="1">
      <c r="A3" s="452" t="s">
        <v>1</v>
      </c>
      <c r="B3" s="453"/>
      <c r="C3" s="453"/>
      <c r="D3" s="453"/>
      <c r="E3" s="453"/>
      <c r="F3" s="453"/>
      <c r="G3" s="453"/>
      <c r="H3" s="453"/>
      <c r="I3" s="453"/>
      <c r="J3" s="453"/>
      <c r="K3" s="454"/>
    </row>
    <row r="4" spans="1:11" s="18" customFormat="1" ht="27" customHeight="1">
      <c r="A4" s="455" t="s">
        <v>125</v>
      </c>
      <c r="B4" s="456"/>
      <c r="C4" s="456"/>
      <c r="D4" s="456"/>
      <c r="E4" s="456"/>
      <c r="F4" s="456"/>
      <c r="G4" s="456"/>
      <c r="H4" s="456"/>
      <c r="I4" s="456"/>
      <c r="J4" s="456"/>
      <c r="K4" s="457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3" t="s">
        <v>325</v>
      </c>
      <c r="B7" s="463"/>
      <c r="C7" s="463"/>
      <c r="D7" s="463"/>
      <c r="E7" s="463"/>
      <c r="F7" s="463"/>
      <c r="G7" s="463"/>
      <c r="H7" s="463"/>
      <c r="I7" s="463"/>
      <c r="J7" s="463"/>
      <c r="K7" s="463"/>
    </row>
    <row r="8" spans="1:11" s="18" customFormat="1" ht="42" customHeight="1">
      <c r="A8" s="464" t="s">
        <v>648</v>
      </c>
      <c r="B8" s="464"/>
      <c r="C8" s="464"/>
      <c r="D8" s="464"/>
      <c r="E8" s="464"/>
      <c r="F8" s="464"/>
      <c r="G8" s="464"/>
      <c r="H8" s="464"/>
      <c r="I8" s="464"/>
      <c r="J8" s="464"/>
      <c r="K8" s="464"/>
    </row>
    <row r="9" spans="1:11" s="22" customFormat="1" ht="15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>
      <c r="A12" s="19"/>
      <c r="B12" s="20" t="s">
        <v>67</v>
      </c>
      <c r="C12" s="435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2" t="str">
        <f>+A8</f>
        <v>“OPTIMIZACIÓN  DE COBERTURA METALICA Y TRIBUNA DE LA IE No. 550006 BELEN DE OSMA Y PARDO, PROVINCIA DE ANDAHUAYLAS-REGION APURIMAC"</v>
      </c>
      <c r="D13" s="462"/>
      <c r="E13" s="462"/>
      <c r="F13" s="462"/>
      <c r="G13" s="462"/>
      <c r="H13" s="462"/>
      <c r="I13" s="462"/>
      <c r="J13" s="462"/>
      <c r="K13" s="462"/>
    </row>
    <row r="14" spans="1:11" s="22" customFormat="1" ht="15.75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+RESUMEN!#REF!+RESUMEN!#REF!+RESUMEN!#REF!+RESUMEN!G26+RESUMEN!G22+RESUMEN!G28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>
      <c r="A21" s="458" t="s">
        <v>3</v>
      </c>
      <c r="B21" s="459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>
      <c r="A22" s="460" t="s">
        <v>84</v>
      </c>
      <c r="B22" s="461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8" t="s">
        <v>70</v>
      </c>
      <c r="B3" s="468"/>
      <c r="C3" s="468"/>
      <c r="D3" s="468"/>
      <c r="E3" s="468"/>
      <c r="F3" s="468"/>
      <c r="G3" s="468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2" t="str">
        <f>+'R'!C13</f>
        <v>“OPTIMIZACIÓN  DE COBERTURA METALICA Y TRIBUNA DE LA IE No. 550006 BELEN DE OSMA Y PARDO, PROVINCIA DE ANDAHUAYLAS-REGION APURIMAC"</v>
      </c>
      <c r="D11" s="462"/>
      <c r="E11" s="462"/>
      <c r="F11" s="462"/>
      <c r="G11" s="462"/>
      <c r="H11" s="179"/>
    </row>
    <row r="12" spans="1:8" ht="18" customHeight="1">
      <c r="A12" s="28"/>
      <c r="B12" s="296"/>
      <c r="C12" s="462"/>
      <c r="D12" s="462"/>
      <c r="E12" s="462"/>
      <c r="F12" s="462"/>
      <c r="G12" s="462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7" t="s">
        <v>37</v>
      </c>
      <c r="D15" s="471"/>
      <c r="E15" s="471"/>
      <c r="F15" s="472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0" t="s">
        <v>73</v>
      </c>
      <c r="C20" s="471"/>
      <c r="D20" s="471"/>
      <c r="E20" s="471"/>
      <c r="F20" s="472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3" t="s">
        <v>42</v>
      </c>
      <c r="B26" s="469"/>
      <c r="C26" s="469"/>
      <c r="D26" s="469"/>
      <c r="E26" s="469"/>
      <c r="F26" s="469"/>
      <c r="G26" s="469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3" t="s">
        <v>10</v>
      </c>
      <c r="B28" s="463"/>
      <c r="C28" s="463"/>
      <c r="D28" s="463"/>
      <c r="E28" s="463"/>
      <c r="F28" s="463"/>
      <c r="G28" s="463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5" t="s">
        <v>3</v>
      </c>
      <c r="C52" s="466"/>
      <c r="D52" s="466"/>
      <c r="E52" s="467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5" t="s">
        <v>3</v>
      </c>
      <c r="C62" s="466"/>
      <c r="D62" s="466"/>
      <c r="E62" s="467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5" t="s">
        <v>3</v>
      </c>
      <c r="C76" s="466"/>
      <c r="D76" s="466"/>
      <c r="E76" s="467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5" t="s">
        <v>3</v>
      </c>
      <c r="C87" s="466"/>
      <c r="D87" s="466"/>
      <c r="E87" s="467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5" t="s">
        <v>3</v>
      </c>
      <c r="C99" s="466"/>
      <c r="D99" s="466"/>
      <c r="E99" s="467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5" t="s">
        <v>3</v>
      </c>
      <c r="C111" s="466"/>
      <c r="D111" s="466"/>
      <c r="E111" s="467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5" t="s">
        <v>3</v>
      </c>
      <c r="C121" s="466"/>
      <c r="D121" s="466"/>
      <c r="E121" s="467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5" t="s">
        <v>3</v>
      </c>
      <c r="C131" s="466"/>
      <c r="D131" s="466"/>
      <c r="E131" s="467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3" t="s">
        <v>3</v>
      </c>
      <c r="C140" s="474"/>
      <c r="D140" s="474"/>
      <c r="E140" s="475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3" t="s">
        <v>3</v>
      </c>
      <c r="C152" s="474"/>
      <c r="D152" s="474"/>
      <c r="E152" s="475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3" t="s">
        <v>3</v>
      </c>
      <c r="C434" s="474"/>
      <c r="D434" s="474"/>
      <c r="E434" s="475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3" t="s">
        <v>3</v>
      </c>
      <c r="C459" s="474"/>
      <c r="D459" s="474"/>
      <c r="E459" s="475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3" t="s">
        <v>3</v>
      </c>
      <c r="C467" s="474"/>
      <c r="D467" s="474"/>
      <c r="E467" s="475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8" t="s">
        <v>73</v>
      </c>
      <c r="B471" s="478"/>
      <c r="C471" s="478"/>
      <c r="D471" s="478"/>
      <c r="E471" s="478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8"/>
      <c r="C475" s="479"/>
      <c r="D475" s="479"/>
      <c r="E475" s="479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8"/>
      <c r="B479" s="478"/>
      <c r="C479" s="478"/>
      <c r="D479" s="478"/>
      <c r="E479" s="478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6"/>
      <c r="B486" s="476"/>
      <c r="C486" s="476"/>
      <c r="D486" s="476"/>
      <c r="E486" s="476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7" zoomScale="90" zoomScaleNormal="85" zoomScaleSheetLayoutView="90" zoomScalePageLayoutView="75" workbookViewId="0">
      <selection activeCell="C10" sqref="C10:G11"/>
    </sheetView>
  </sheetViews>
  <sheetFormatPr baseColWidth="10" defaultColWidth="11.42578125" defaultRowHeight="12.75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/>
    <row r="2" spans="1:7" ht="21" customHeight="1"/>
    <row r="3" spans="1:7" ht="27" customHeight="1">
      <c r="A3" s="490" t="s">
        <v>68</v>
      </c>
      <c r="B3" s="490"/>
      <c r="C3" s="490"/>
      <c r="D3" s="490"/>
      <c r="E3" s="490"/>
      <c r="F3" s="490"/>
      <c r="G3" s="490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91" t="s">
        <v>654</v>
      </c>
      <c r="D10" s="462"/>
      <c r="E10" s="462"/>
      <c r="F10" s="462"/>
      <c r="G10" s="462"/>
    </row>
    <row r="11" spans="1:7" ht="18" customHeight="1">
      <c r="B11" s="29"/>
      <c r="C11" s="462"/>
      <c r="D11" s="462"/>
      <c r="E11" s="462"/>
      <c r="F11" s="462"/>
      <c r="G11" s="462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2" t="s">
        <v>37</v>
      </c>
      <c r="D14" s="492"/>
      <c r="E14" s="492"/>
      <c r="F14" s="492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3" t="s">
        <v>41</v>
      </c>
      <c r="C19" s="494"/>
      <c r="D19" s="494"/>
      <c r="E19" s="494"/>
      <c r="F19" s="494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8" t="s">
        <v>42</v>
      </c>
      <c r="B24" s="489"/>
      <c r="C24" s="489"/>
      <c r="D24" s="489"/>
      <c r="E24" s="489"/>
      <c r="F24" s="489"/>
      <c r="G24" s="489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8" t="s">
        <v>43</v>
      </c>
      <c r="B26" s="488"/>
      <c r="C26" s="488"/>
      <c r="D26" s="488"/>
      <c r="E26" s="488"/>
      <c r="F26" s="488"/>
      <c r="G26" s="488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75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5" t="s">
        <v>3</v>
      </c>
      <c r="C46" s="495"/>
      <c r="D46" s="495"/>
      <c r="E46" s="495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75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2" t="s">
        <v>3</v>
      </c>
      <c r="C66" s="483"/>
      <c r="D66" s="483"/>
      <c r="E66" s="48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5" t="s">
        <v>3</v>
      </c>
      <c r="C82" s="486"/>
      <c r="D82" s="486"/>
      <c r="E82" s="48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5" t="s">
        <v>3</v>
      </c>
      <c r="C101" s="486"/>
      <c r="D101" s="486"/>
      <c r="E101" s="48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5" t="s">
        <v>3</v>
      </c>
      <c r="C117" s="486"/>
      <c r="D117" s="486"/>
      <c r="E117" s="48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5" t="s">
        <v>3</v>
      </c>
      <c r="C135" s="486"/>
      <c r="D135" s="486"/>
      <c r="E135" s="48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75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75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1" t="s">
        <v>3</v>
      </c>
      <c r="C146" s="481"/>
      <c r="D146" s="481"/>
      <c r="E146" s="481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1" t="s">
        <v>3</v>
      </c>
      <c r="C184" s="481"/>
      <c r="D184" s="481"/>
      <c r="E184" s="481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75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75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75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1" t="s">
        <v>3</v>
      </c>
      <c r="C194" s="481"/>
      <c r="D194" s="481"/>
      <c r="E194" s="481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1" t="s">
        <v>3</v>
      </c>
      <c r="C201" s="481"/>
      <c r="D201" s="481"/>
      <c r="E201" s="481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0" t="s">
        <v>41</v>
      </c>
      <c r="B204" s="480"/>
      <c r="C204" s="480"/>
      <c r="D204" s="480"/>
      <c r="E204" s="480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0.25">
      <c r="A1" s="496" t="s">
        <v>280</v>
      </c>
      <c r="B1" s="496"/>
      <c r="C1" s="496"/>
      <c r="D1" s="496"/>
      <c r="E1" s="496"/>
      <c r="F1" s="496"/>
      <c r="G1" s="496"/>
    </row>
    <row r="2" spans="1:7">
      <c r="A2" s="65"/>
      <c r="B2" s="65"/>
      <c r="C2" s="65"/>
      <c r="D2" s="65"/>
      <c r="E2" s="66"/>
      <c r="F2" s="65"/>
      <c r="G2" s="65"/>
    </row>
    <row r="3" spans="1:7" ht="15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>
      <c r="A9" s="70"/>
      <c r="B9" s="29" t="s">
        <v>111</v>
      </c>
      <c r="C9" s="497" t="str">
        <f>'R'!C13</f>
        <v>“OPTIMIZACIÓN  DE COBERTURA METALICA Y TRIBUNA DE LA IE No. 550006 BELEN DE OSMA Y PARDO, PROVINCIA DE ANDAHUAYLAS-REGION APURIMAC"</v>
      </c>
      <c r="D9" s="497"/>
      <c r="E9" s="497"/>
      <c r="F9" s="497"/>
      <c r="G9" s="497"/>
    </row>
    <row r="10" spans="1:7" ht="15">
      <c r="A10" s="70"/>
      <c r="B10" s="29"/>
      <c r="C10" s="497"/>
      <c r="D10" s="497"/>
      <c r="E10" s="497"/>
      <c r="F10" s="497"/>
      <c r="G10" s="497"/>
    </row>
    <row r="11" spans="1:7" ht="15">
      <c r="A11" s="70"/>
      <c r="B11" s="29"/>
      <c r="C11" s="30"/>
      <c r="D11" s="65"/>
      <c r="E11" s="73"/>
      <c r="F11" s="70"/>
      <c r="G11" s="70"/>
    </row>
    <row r="12" spans="1:7" ht="15.75" thickBot="1">
      <c r="A12" s="70"/>
      <c r="B12" s="29"/>
      <c r="C12" s="30"/>
      <c r="D12" s="65"/>
      <c r="E12" s="73"/>
      <c r="F12" s="70"/>
      <c r="G12" s="70"/>
    </row>
    <row r="13" spans="1:7" ht="13.5" thickBot="1">
      <c r="A13" s="183"/>
      <c r="B13" s="224" t="s">
        <v>36</v>
      </c>
      <c r="C13" s="492" t="s">
        <v>37</v>
      </c>
      <c r="D13" s="492"/>
      <c r="E13" s="492"/>
      <c r="F13" s="492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>
      <c r="A19" s="183"/>
      <c r="B19" s="493" t="s">
        <v>282</v>
      </c>
      <c r="C19" s="494"/>
      <c r="D19" s="494"/>
      <c r="E19" s="494"/>
      <c r="F19" s="494"/>
      <c r="G19" s="203">
        <f>SUM(G14:G18)</f>
        <v>0</v>
      </c>
      <c r="J19" s="17"/>
      <c r="K19" s="184"/>
    </row>
    <row r="20" spans="1:11" ht="15.75">
      <c r="A20" s="70"/>
      <c r="B20" s="75"/>
      <c r="C20" s="75"/>
      <c r="D20" s="75"/>
      <c r="E20" s="75"/>
      <c r="F20" s="88"/>
      <c r="G20" s="65"/>
    </row>
    <row r="21" spans="1:11" ht="15.75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0.25">
      <c r="A23" s="488" t="s">
        <v>42</v>
      </c>
      <c r="B23" s="489"/>
      <c r="C23" s="489"/>
      <c r="D23" s="489"/>
      <c r="E23" s="489"/>
      <c r="F23" s="489"/>
      <c r="G23" s="489"/>
    </row>
    <row r="24" spans="1:11" ht="20.25">
      <c r="A24" s="230"/>
      <c r="B24" s="231"/>
      <c r="C24" s="232"/>
      <c r="D24" s="231"/>
      <c r="E24" s="233"/>
      <c r="F24" s="231"/>
      <c r="G24" s="231"/>
    </row>
    <row r="25" spans="1:11" ht="20.25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75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75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75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75">
      <c r="A33" s="127"/>
      <c r="B33" s="154"/>
      <c r="C33" s="146"/>
      <c r="D33" s="146"/>
      <c r="E33" s="145"/>
      <c r="F33" s="129"/>
      <c r="G33" s="130"/>
    </row>
    <row r="34" spans="1:9" ht="15.75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75">
      <c r="A35" s="127"/>
      <c r="B35" s="92"/>
      <c r="C35" s="85"/>
      <c r="D35" s="85"/>
      <c r="E35" s="86"/>
      <c r="F35" s="85"/>
      <c r="G35" s="130"/>
    </row>
    <row r="36" spans="1:9" ht="15.75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75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75">
      <c r="A38" s="127"/>
      <c r="B38" s="485" t="s">
        <v>3</v>
      </c>
      <c r="C38" s="486"/>
      <c r="D38" s="486"/>
      <c r="E38" s="48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75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0.25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75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75">
      <c r="A46" s="226"/>
      <c r="B46" s="223"/>
      <c r="C46" s="212"/>
      <c r="D46" s="212"/>
      <c r="E46" s="213"/>
      <c r="F46" s="213"/>
      <c r="G46" s="214"/>
    </row>
    <row r="47" spans="1:9" ht="15.75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5" t="s">
        <v>3</v>
      </c>
      <c r="C56" s="495"/>
      <c r="D56" s="495"/>
      <c r="E56" s="495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75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1" t="s">
        <v>3</v>
      </c>
      <c r="C78" s="481"/>
      <c r="D78" s="481"/>
      <c r="E78" s="481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75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75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75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5" t="s">
        <v>3</v>
      </c>
      <c r="C109" s="495"/>
      <c r="D109" s="495"/>
      <c r="E109" s="495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75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75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1" t="s">
        <v>3</v>
      </c>
      <c r="C118" s="481"/>
      <c r="D118" s="481"/>
      <c r="E118" s="481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75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1" t="s">
        <v>3</v>
      </c>
      <c r="C127" s="481"/>
      <c r="D127" s="481"/>
      <c r="E127" s="481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75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1" t="s">
        <v>3</v>
      </c>
      <c r="C154" s="481"/>
      <c r="D154" s="481"/>
      <c r="E154" s="481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75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5" t="s">
        <v>3</v>
      </c>
      <c r="C162" s="486"/>
      <c r="D162" s="486"/>
      <c r="E162" s="487"/>
      <c r="F162" s="98">
        <f>SUM(F159:F161)</f>
        <v>0</v>
      </c>
      <c r="G162" s="78"/>
    </row>
    <row r="163" spans="1:7" ht="15.75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75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75">
      <c r="A166" s="127"/>
      <c r="B166" s="154"/>
      <c r="C166" s="146"/>
      <c r="D166" s="146"/>
      <c r="E166" s="145"/>
      <c r="F166" s="129"/>
      <c r="G166" s="130"/>
    </row>
    <row r="167" spans="1:7" ht="15.75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75">
      <c r="A168" s="127"/>
      <c r="B168" s="154"/>
      <c r="C168" s="146"/>
      <c r="D168" s="146"/>
      <c r="E168" s="145"/>
      <c r="F168" s="129"/>
      <c r="G168" s="130"/>
    </row>
    <row r="169" spans="1:7" ht="15.75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75">
      <c r="A170" s="127"/>
      <c r="B170" s="92"/>
      <c r="C170" s="85"/>
      <c r="D170" s="85"/>
      <c r="E170" s="86"/>
      <c r="F170" s="85"/>
      <c r="G170" s="130"/>
    </row>
    <row r="171" spans="1:7" ht="15.75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75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75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75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75">
      <c r="A175" s="127"/>
      <c r="B175" s="485" t="s">
        <v>3</v>
      </c>
      <c r="C175" s="486"/>
      <c r="D175" s="486"/>
      <c r="E175" s="48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75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8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2578125" defaultRowHeight="12.75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/>
    <row r="2" spans="1:7" ht="21" customHeight="1"/>
    <row r="3" spans="1:7" ht="27" customHeight="1">
      <c r="A3" s="503" t="s">
        <v>586</v>
      </c>
      <c r="B3" s="503"/>
      <c r="C3" s="503"/>
      <c r="D3" s="503"/>
      <c r="E3" s="503"/>
      <c r="F3" s="503"/>
      <c r="G3" s="503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1" t="s">
        <v>654</v>
      </c>
      <c r="D10" s="462"/>
      <c r="E10" s="462"/>
      <c r="F10" s="462"/>
      <c r="G10" s="462"/>
    </row>
    <row r="11" spans="1:7" ht="18" customHeight="1">
      <c r="B11" s="29"/>
      <c r="C11" s="462"/>
      <c r="D11" s="462"/>
      <c r="E11" s="462"/>
      <c r="F11" s="462"/>
      <c r="G11" s="462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2" t="s">
        <v>37</v>
      </c>
      <c r="D13" s="492"/>
      <c r="E13" s="492"/>
      <c r="F13" s="492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3" t="s">
        <v>76</v>
      </c>
      <c r="C18" s="494"/>
      <c r="D18" s="494"/>
      <c r="E18" s="494"/>
      <c r="F18" s="494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1" t="s">
        <v>42</v>
      </c>
      <c r="B23" s="502"/>
      <c r="C23" s="502"/>
      <c r="D23" s="502"/>
      <c r="E23" s="502"/>
      <c r="F23" s="502"/>
      <c r="G23" s="502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1" t="s">
        <v>69</v>
      </c>
      <c r="B25" s="501"/>
      <c r="C25" s="501"/>
      <c r="D25" s="501"/>
      <c r="E25" s="501"/>
      <c r="F25" s="501"/>
      <c r="G25" s="501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75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8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9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0"/>
    </row>
    <row r="40" spans="1:9" ht="12.75" customHeight="1">
      <c r="A40" s="67"/>
      <c r="B40" s="495" t="s">
        <v>3</v>
      </c>
      <c r="C40" s="495"/>
      <c r="D40" s="495"/>
      <c r="E40" s="495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1" t="s">
        <v>3</v>
      </c>
      <c r="C63" s="481"/>
      <c r="D63" s="481"/>
      <c r="E63" s="481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4" t="s">
        <v>3</v>
      </c>
      <c r="C75" s="504"/>
      <c r="D75" s="504"/>
      <c r="E75" s="504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4" t="s">
        <v>3</v>
      </c>
      <c r="C85" s="504"/>
      <c r="D85" s="504"/>
      <c r="E85" s="504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5" t="s">
        <v>3</v>
      </c>
      <c r="C97" s="506"/>
      <c r="D97" s="506"/>
      <c r="E97" s="507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75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1" t="s">
        <v>3</v>
      </c>
      <c r="C106" s="481"/>
      <c r="D106" s="481"/>
      <c r="E106" s="481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1" t="s">
        <v>3</v>
      </c>
      <c r="C114" s="481"/>
      <c r="D114" s="481"/>
      <c r="E114" s="481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1" t="s">
        <v>3</v>
      </c>
      <c r="C138" s="481"/>
      <c r="D138" s="481"/>
      <c r="E138" s="481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1" t="s">
        <v>3</v>
      </c>
      <c r="C145" s="481"/>
      <c r="D145" s="481"/>
      <c r="E145" s="481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75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5" t="s">
        <v>3</v>
      </c>
      <c r="C156" s="486"/>
      <c r="D156" s="486"/>
      <c r="E156" s="48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75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75">
      <c r="G161" s="164"/>
    </row>
    <row r="162" spans="6:7" ht="15.75">
      <c r="G162" s="164"/>
    </row>
    <row r="163" spans="6:7" ht="15.75">
      <c r="G163" s="164"/>
    </row>
    <row r="164" spans="6:7" ht="15.75">
      <c r="G164" s="164"/>
    </row>
    <row r="165" spans="6:7" ht="15.75">
      <c r="G165" s="164"/>
    </row>
    <row r="166" spans="6:7" ht="15.75">
      <c r="F166" s="80"/>
      <c r="G166" s="164"/>
    </row>
    <row r="167" spans="6:7" ht="15.75">
      <c r="G167" s="164"/>
    </row>
    <row r="168" spans="6:7" ht="15.75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3" t="s">
        <v>143</v>
      </c>
      <c r="B3" s="503"/>
      <c r="C3" s="503"/>
      <c r="D3" s="503"/>
      <c r="E3" s="503"/>
      <c r="F3" s="503"/>
      <c r="G3" s="503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1" t="s">
        <v>654</v>
      </c>
      <c r="D10" s="462"/>
      <c r="E10" s="462"/>
      <c r="F10" s="462"/>
      <c r="G10" s="462"/>
    </row>
    <row r="11" spans="1:7" ht="24" customHeight="1">
      <c r="B11" s="29"/>
      <c r="C11" s="462"/>
      <c r="D11" s="462"/>
      <c r="E11" s="462"/>
      <c r="F11" s="462"/>
      <c r="G11" s="46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2" t="s">
        <v>37</v>
      </c>
      <c r="D14" s="492"/>
      <c r="E14" s="492"/>
      <c r="F14" s="49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3" t="s">
        <v>157</v>
      </c>
      <c r="C19" s="494"/>
      <c r="D19" s="494"/>
      <c r="E19" s="494"/>
      <c r="F19" s="494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8" t="s">
        <v>42</v>
      </c>
      <c r="B27" s="489"/>
      <c r="C27" s="489"/>
      <c r="D27" s="489"/>
      <c r="E27" s="489"/>
      <c r="F27" s="489"/>
      <c r="G27" s="48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8" t="s">
        <v>154</v>
      </c>
      <c r="B29" s="488"/>
      <c r="C29" s="488"/>
      <c r="D29" s="488"/>
      <c r="E29" s="488"/>
      <c r="F29" s="488"/>
      <c r="G29" s="488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5" t="s">
        <v>3</v>
      </c>
      <c r="C44" s="495"/>
      <c r="D44" s="495"/>
      <c r="E44" s="495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1" t="s">
        <v>3</v>
      </c>
      <c r="C66" s="481"/>
      <c r="D66" s="481"/>
      <c r="E66" s="481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5" t="s">
        <v>3</v>
      </c>
      <c r="C97" s="495"/>
      <c r="D97" s="495"/>
      <c r="E97" s="495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1" t="s">
        <v>3</v>
      </c>
      <c r="C106" s="481"/>
      <c r="D106" s="481"/>
      <c r="E106" s="481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1" t="s">
        <v>3</v>
      </c>
      <c r="C123" s="481"/>
      <c r="D123" s="481"/>
      <c r="E123" s="481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1" t="s">
        <v>3</v>
      </c>
      <c r="C132" s="481"/>
      <c r="D132" s="481"/>
      <c r="E132" s="48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5" t="s">
        <v>3</v>
      </c>
      <c r="C139" s="486"/>
      <c r="D139" s="486"/>
      <c r="E139" s="48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5" t="s">
        <v>3</v>
      </c>
      <c r="C151" s="486"/>
      <c r="D151" s="486"/>
      <c r="E151" s="48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RESUMEN!G30</f>
        <v>369853.64833333332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>
      <c r="A1" s="496" t="s">
        <v>169</v>
      </c>
      <c r="B1" s="496"/>
      <c r="C1" s="496"/>
      <c r="D1" s="496"/>
      <c r="E1" s="496"/>
      <c r="F1" s="496"/>
      <c r="G1" s="496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7" t="str">
        <f>'R'!C13</f>
        <v>“OPTIMIZACIÓN  DE COBERTURA METALICA Y TRIBUNA DE LA IE No. 550006 BELEN DE OSMA Y PARDO, PROVINCIA DE ANDAHUAYLAS-REGION APURIMAC"</v>
      </c>
      <c r="D9" s="497"/>
      <c r="E9" s="497"/>
      <c r="F9" s="497"/>
      <c r="G9" s="497"/>
    </row>
    <row r="10" spans="1:7" ht="18" customHeight="1">
      <c r="B10" s="29"/>
      <c r="C10" s="497"/>
      <c r="D10" s="497"/>
      <c r="E10" s="497"/>
      <c r="F10" s="497"/>
      <c r="G10" s="497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2" t="s">
        <v>37</v>
      </c>
      <c r="D13" s="492"/>
      <c r="E13" s="492"/>
      <c r="F13" s="492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3" t="s">
        <v>263</v>
      </c>
      <c r="C18" s="494"/>
      <c r="D18" s="494"/>
      <c r="E18" s="494"/>
      <c r="F18" s="494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8" t="s">
        <v>42</v>
      </c>
      <c r="B22" s="489"/>
      <c r="C22" s="489"/>
      <c r="D22" s="489"/>
      <c r="E22" s="489"/>
      <c r="F22" s="489"/>
      <c r="G22" s="489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8" t="s">
        <v>261</v>
      </c>
      <c r="B24" s="488"/>
      <c r="C24" s="488"/>
      <c r="D24" s="488"/>
      <c r="E24" s="488"/>
      <c r="F24" s="488"/>
      <c r="G24" s="488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75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5" t="s">
        <v>3</v>
      </c>
      <c r="C37" s="495"/>
      <c r="D37" s="495"/>
      <c r="E37" s="495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1" t="s">
        <v>3</v>
      </c>
      <c r="C59" s="481"/>
      <c r="D59" s="481"/>
      <c r="E59" s="481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4" t="s">
        <v>3</v>
      </c>
      <c r="C70" s="504"/>
      <c r="D70" s="504"/>
      <c r="E70" s="504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4" t="s">
        <v>3</v>
      </c>
      <c r="C79" s="504"/>
      <c r="D79" s="504"/>
      <c r="E79" s="504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5" t="s">
        <v>3</v>
      </c>
      <c r="C90" s="495"/>
      <c r="D90" s="495"/>
      <c r="E90" s="495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75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75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1" t="s">
        <v>3</v>
      </c>
      <c r="C176" s="481"/>
      <c r="D176" s="481"/>
      <c r="E176" s="481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75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75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1" t="s">
        <v>3</v>
      </c>
      <c r="C186" s="481"/>
      <c r="D186" s="481"/>
      <c r="E186" s="481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5" t="s">
        <v>3</v>
      </c>
      <c r="C197" s="486"/>
      <c r="D197" s="486"/>
      <c r="E197" s="48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75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C10" sqref="C10:G1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3" t="s">
        <v>587</v>
      </c>
      <c r="B3" s="503"/>
      <c r="C3" s="503"/>
      <c r="D3" s="503"/>
      <c r="E3" s="503"/>
      <c r="F3" s="503"/>
      <c r="G3" s="503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1" t="s">
        <v>654</v>
      </c>
      <c r="D10" s="462"/>
      <c r="E10" s="462"/>
      <c r="F10" s="462"/>
      <c r="G10" s="462"/>
    </row>
    <row r="11" spans="1:7" ht="22.9" customHeight="1">
      <c r="B11" s="29"/>
      <c r="C11" s="462"/>
      <c r="D11" s="462"/>
      <c r="E11" s="462"/>
      <c r="F11" s="462"/>
      <c r="G11" s="46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2" t="s">
        <v>37</v>
      </c>
      <c r="D14" s="492"/>
      <c r="E14" s="492"/>
      <c r="F14" s="49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3" t="s">
        <v>589</v>
      </c>
      <c r="C19" s="494"/>
      <c r="D19" s="494"/>
      <c r="E19" s="494"/>
      <c r="F19" s="494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8" t="s">
        <v>42</v>
      </c>
      <c r="B27" s="489"/>
      <c r="C27" s="489"/>
      <c r="D27" s="489"/>
      <c r="E27" s="489"/>
      <c r="F27" s="489"/>
      <c r="G27" s="48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8" t="s">
        <v>588</v>
      </c>
      <c r="B29" s="488"/>
      <c r="C29" s="488"/>
      <c r="D29" s="488"/>
      <c r="E29" s="488"/>
      <c r="F29" s="488"/>
      <c r="G29" s="488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5" t="s">
        <v>3</v>
      </c>
      <c r="C44" s="495"/>
      <c r="D44" s="495"/>
      <c r="E44" s="495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1" t="s">
        <v>3</v>
      </c>
      <c r="C66" s="481"/>
      <c r="D66" s="481"/>
      <c r="E66" s="481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5" t="s">
        <v>3</v>
      </c>
      <c r="C97" s="495"/>
      <c r="D97" s="495"/>
      <c r="E97" s="495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1" t="s">
        <v>3</v>
      </c>
      <c r="C106" s="481"/>
      <c r="D106" s="481"/>
      <c r="E106" s="481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1" t="s">
        <v>3</v>
      </c>
      <c r="C123" s="481"/>
      <c r="D123" s="481"/>
      <c r="E123" s="481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1" t="s">
        <v>3</v>
      </c>
      <c r="C132" s="481"/>
      <c r="D132" s="481"/>
      <c r="E132" s="48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5" t="s">
        <v>3</v>
      </c>
      <c r="C139" s="486"/>
      <c r="D139" s="486"/>
      <c r="E139" s="48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5" t="s">
        <v>3</v>
      </c>
      <c r="C151" s="486"/>
      <c r="D151" s="486"/>
      <c r="E151" s="48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RESUMEN!G30</f>
        <v>369853.64833333332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Premiun</cp:lastModifiedBy>
  <cp:lastPrinted>2020-05-19T17:14:12Z</cp:lastPrinted>
  <dcterms:created xsi:type="dcterms:W3CDTF">2003-01-21T17:07:22Z</dcterms:created>
  <dcterms:modified xsi:type="dcterms:W3CDTF">2020-07-22T20:34:49Z</dcterms:modified>
</cp:coreProperties>
</file>